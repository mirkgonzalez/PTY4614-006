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 Y MAS DOWNLOAD\"/>
    </mc:Choice>
  </mc:AlternateContent>
  <xr:revisionPtr revIDLastSave="0" documentId="13_ncr:1_{40040A4E-6E80-45F2-BE7F-81F9E6771989}" xr6:coauthVersionLast="47" xr6:coauthVersionMax="47" xr10:uidLastSave="{00000000-0000-0000-0000-000000000000}"/>
  <bookViews>
    <workbookView xWindow="-120" yWindow="-120" windowWidth="29040" windowHeight="15840" tabRatio="740" firstSheet="1" activeTab="2" xr2:uid="{00000000-000D-0000-FFFF-FFFF00000000}"/>
  </bookViews>
  <sheets>
    <sheet name="Información" sheetId="104" state="hidden" r:id="rId1"/>
    <sheet name="Información del Documento" sheetId="116" r:id="rId2"/>
    <sheet name="Registro de Riesgos" sheetId="112" r:id="rId3"/>
    <sheet name="Matriz" sheetId="115" state="hidden" r:id="rId4"/>
    <sheet name="Matriz Impacto y Probabilidad" sheetId="114" r:id="rId5"/>
  </sheets>
  <externalReferences>
    <externalReference r:id="rId6"/>
  </externalReferences>
  <definedNames>
    <definedName name="_xlnm._FilterDatabase" localSheetId="0" hidden="1">Información!#REF!</definedName>
    <definedName name="_xlnm._FilterDatabase" localSheetId="3" hidden="1">Matriz!#REF!</definedName>
    <definedName name="_xlnm._FilterDatabase" localSheetId="2" hidden="1">'Registro de Riesgos'!$A$2:$P$10</definedName>
    <definedName name="Criticidad">Información!$B$4:$B$6</definedName>
    <definedName name="Estado">Información!$B$9:$B$12</definedName>
    <definedName name="EstadoRiesgos">Información!$B$18:$B$21</definedName>
    <definedName name="FechaControl">'[1]Tabla (H)'!$P$6:$P$25</definedName>
    <definedName name="ImpactoRiesgo">Información!$I$9:$K$9</definedName>
    <definedName name="ListaFechas" localSheetId="3">#REF!</definedName>
    <definedName name="ListaFechas">#REF!</definedName>
    <definedName name="MatrizRiesgo" comment="Matriz de Riesgos tabuladas">Información!$I$6:$K$8</definedName>
    <definedName name="PrioridadRiesgo">Información!$H$6:$H$8</definedName>
    <definedName name="ProbabilidadRiesgo">Información!$H$6:$H$8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04" l="1"/>
  <c r="O9" i="104"/>
  <c r="O10" i="104"/>
  <c r="O11" i="104"/>
  <c r="O12" i="104"/>
  <c r="O6" i="104"/>
  <c r="O7" i="104"/>
  <c r="O5" i="104"/>
</calcChain>
</file>

<file path=xl/sharedStrings.xml><?xml version="1.0" encoding="utf-8"?>
<sst xmlns="http://schemas.openxmlformats.org/spreadsheetml/2006/main" count="608" uniqueCount="272">
  <si>
    <t>Impacto</t>
  </si>
  <si>
    <t>Estado</t>
  </si>
  <si>
    <t>Fecha Creación</t>
  </si>
  <si>
    <t>Causa</t>
  </si>
  <si>
    <t>Responsable</t>
  </si>
  <si>
    <t>Fecha de Compromiso</t>
  </si>
  <si>
    <t>Abierto</t>
  </si>
  <si>
    <t>Criticidad</t>
  </si>
  <si>
    <t>Tabla de Criticidad</t>
  </si>
  <si>
    <t>Alto</t>
  </si>
  <si>
    <t>Medio</t>
  </si>
  <si>
    <t>Bajo</t>
  </si>
  <si>
    <t>Matriz de Riesgos  - Criticidad</t>
  </si>
  <si>
    <t>Alta</t>
  </si>
  <si>
    <t>Media</t>
  </si>
  <si>
    <t>Baja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</si>
  <si>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</si>
  <si>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</si>
  <si>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</si>
  <si>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</si>
  <si>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</si>
  <si>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</si>
  <si>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</si>
  <si>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Plan de contingencia, si relación costo/beneficio no es adecuada</t>
  </si>
  <si>
    <t>Se ve con una lista (ImpactoRiesgo)</t>
  </si>
  <si>
    <t>Baja prioridad y monitorear Riesgo</t>
  </si>
  <si>
    <t>Probabilidad</t>
  </si>
  <si>
    <t>Cerrado</t>
  </si>
  <si>
    <t>Eliminado</t>
  </si>
  <si>
    <t>Problema</t>
  </si>
  <si>
    <t>Se ve con una lista (ProbabilidadRiesgo)</t>
  </si>
  <si>
    <t>Ejemplo</t>
  </si>
  <si>
    <t>Estado Riesgos</t>
  </si>
  <si>
    <t>Pendiente</t>
  </si>
  <si>
    <t>ID</t>
  </si>
  <si>
    <t>Probabilidad Ocurrencia</t>
  </si>
  <si>
    <t>Respuesta (Evitar, Transferir, Mitigar)</t>
  </si>
  <si>
    <t>Riesgo (Evento)</t>
  </si>
  <si>
    <t>Técnico</t>
  </si>
  <si>
    <t>Seguridad</t>
  </si>
  <si>
    <t>Muy Alto</t>
  </si>
  <si>
    <t>Muy Bajo</t>
  </si>
  <si>
    <t xml:space="preserve">Bajo </t>
  </si>
  <si>
    <t>Efecto</t>
  </si>
  <si>
    <t>Tipo</t>
  </si>
  <si>
    <t>Registro de Riesgos</t>
  </si>
  <si>
    <t>Comentarios</t>
  </si>
  <si>
    <t xml:space="preserve">Información del documento </t>
  </si>
  <si>
    <t xml:space="preserve">&lt;Incorporara una breve descrición del contenido del documento,  &gt; </t>
  </si>
  <si>
    <t>Nombre Archivo</t>
  </si>
  <si>
    <t xml:space="preserve">        </t>
  </si>
  <si>
    <t>Historial Estructura Documento</t>
  </si>
  <si>
    <t>Fecha</t>
  </si>
  <si>
    <t>Autor / Responsable</t>
  </si>
  <si>
    <t>Versión</t>
  </si>
  <si>
    <t>Descripción</t>
  </si>
  <si>
    <t>1.0</t>
  </si>
  <si>
    <t>Versión Inicial</t>
  </si>
  <si>
    <t>Historial Contenido Documento y Bitácora</t>
  </si>
  <si>
    <t>Registro de Riesgos.XLS</t>
  </si>
  <si>
    <t>Sub dirección de Inocuidad y Certificación</t>
  </si>
  <si>
    <t>Documento Inicial</t>
  </si>
  <si>
    <t>impacto</t>
  </si>
  <si>
    <t>probabilidad</t>
  </si>
  <si>
    <t xml:space="preserve">Siscomex-- Gestón Certificados </t>
  </si>
  <si>
    <t>Mirko Gonzalez</t>
  </si>
  <si>
    <t>Fallo en sincronización entre Firebase y Hive</t>
  </si>
  <si>
    <t>Sincronización incorrecta debido a errores de caché o datos corruptos</t>
  </si>
  <si>
    <t>Perdida parcial de información</t>
  </si>
  <si>
    <t>Mitigar: Implementar validaciones y reintentos de sincronización</t>
  </si>
  <si>
    <t>MG</t>
  </si>
  <si>
    <t>Revisión semanal de logs</t>
  </si>
  <si>
    <t>Errores al generar direcciones BTC</t>
  </si>
  <si>
    <t>BIP84 podría fallar por librerías incompatibles</t>
  </si>
  <si>
    <t>Fallos al recibir pagos</t>
  </si>
  <si>
    <t>Mitigar: Actualizar librerías y validar derivación</t>
  </si>
  <si>
    <t>En progreso</t>
  </si>
  <si>
    <t>Pruebas automatizadas pendientes</t>
  </si>
  <si>
    <t>Exposición de semilla del usuario</t>
  </si>
  <si>
    <t>Almacenamiento inseguro o accesos no autorizados</t>
  </si>
  <si>
    <t>Compromiso completo de fondos</t>
  </si>
  <si>
    <t>Evitar: Cifrado AES y SecureStorage</t>
  </si>
  <si>
    <t>Implementar auditoría interna</t>
  </si>
  <si>
    <t>Operacional</t>
  </si>
  <si>
    <t>Fallo al consultar balances en APIs externas</t>
  </si>
  <si>
    <t>Caída de APIs de terceros (Mempool, PolygonScan)</t>
  </si>
  <si>
    <t>No mostrar saldos actualizados</t>
  </si>
  <si>
    <t>Transferir: Implementar fallback a otra API</t>
  </si>
  <si>
    <t>Espera confirmación de API secundaria</t>
  </si>
  <si>
    <t>Error en validación de direcciones USDT</t>
  </si>
  <si>
    <t>Formato incorrecto por actualización de la red</t>
  </si>
  <si>
    <t>Envíos fallidos</t>
  </si>
  <si>
    <t>Mitigar: Validar con expresiones regulares actualizadas</t>
  </si>
  <si>
    <t>Pruebas con diferentes redes</t>
  </si>
  <si>
    <t>Acceso no autorizado por PIN débil</t>
  </si>
  <si>
    <t>Usuarios utilizando PIN simple</t>
  </si>
  <si>
    <t>Riesgo de acceso a fondos</t>
  </si>
  <si>
    <t>Evitar: Exigir PIN fuerte y límite de intentos</t>
  </si>
  <si>
    <t>Implementación en revisión</t>
  </si>
  <si>
    <t>Desactualización de precios del mercado</t>
  </si>
  <si>
    <t>APIs de precios no responden</t>
  </si>
  <si>
    <t>Confusión en valores</t>
  </si>
  <si>
    <t>Mitigar: Actualizar cada 60s y mostrar fallback</t>
  </si>
  <si>
    <t>Probando caché local</t>
  </si>
  <si>
    <t>Fallas en mapa georreferenciado de comercios</t>
  </si>
  <si>
    <t>Google Maps API rate limit</t>
  </si>
  <si>
    <t>No mostrar comercios</t>
  </si>
  <si>
    <t>Mitigar: Implementar control de peticiones</t>
  </si>
  <si>
    <t>Revisión de claves API</t>
  </si>
  <si>
    <t>Exposición de foto de perfil</t>
  </si>
  <si>
    <t>Falla en Firebase Storage</t>
  </si>
  <si>
    <t>Divulgación de datos personales</t>
  </si>
  <si>
    <t>Mitigar: Reglas estrictas de acceso Storage</t>
  </si>
  <si>
    <t>Revisión por docente</t>
  </si>
  <si>
    <t>Fallo al generar QR BTC/USDT</t>
  </si>
  <si>
    <t>Problemas en la librería de QR</t>
  </si>
  <si>
    <t>Imposibilidad de recibir pagos</t>
  </si>
  <si>
    <t>Mitigar: Mantener librería actualizada</t>
  </si>
  <si>
    <t>Tests en Android e iOS</t>
  </si>
  <si>
    <t>Fallos en el envío de USDT</t>
  </si>
  <si>
    <t>Gas insuficiente o RPC caído</t>
  </si>
  <si>
    <t>Transacción atascada</t>
  </si>
  <si>
    <t>Crítica</t>
  </si>
  <si>
    <t>Mitigar: Revisión automática de saldo MATIC</t>
  </si>
  <si>
    <t>Integrar aviso emergente</t>
  </si>
  <si>
    <t>Fallos en Lightning Network</t>
  </si>
  <si>
    <t>Desconexiones del nodo LNBits</t>
  </si>
  <si>
    <t>Pagos no procesados</t>
  </si>
  <si>
    <t>Transferir: Usar nodo de respaldo</t>
  </si>
  <si>
    <t>Esperando pruebas con Voltage</t>
  </si>
  <si>
    <t>Invoice LN manipulado por phishing</t>
  </si>
  <si>
    <t>QR modificado externamente</t>
  </si>
  <si>
    <t>Pérdida de fondos</t>
  </si>
  <si>
    <t>Mitigar: Validar hash del invoice antes de pagar</t>
  </si>
  <si>
    <t>Documentación en proceso</t>
  </si>
  <si>
    <t>Timeout al firmar TX BTC</t>
  </si>
  <si>
    <t>Dispositivos lentos o sin recursos</t>
  </si>
  <si>
    <t>No se completa envío</t>
  </si>
  <si>
    <t>Mitigar: Optimizar procesamiento local</t>
  </si>
  <si>
    <t>Optimización en Flutter pendiente</t>
  </si>
  <si>
    <t>Doble envío de transacción BTC</t>
  </si>
  <si>
    <t>Error del usuario o reintento fallido</t>
  </si>
  <si>
    <t>Duplicidad de transacciones</t>
  </si>
  <si>
    <t>Mitigar: Bloquear botón tras primer click</t>
  </si>
  <si>
    <t>Revisión de UX</t>
  </si>
  <si>
    <t>Conflictos en multiwallet</t>
  </si>
  <si>
    <t>Errores al cambiar de billetera</t>
  </si>
  <si>
    <t>Confusión del usuario</t>
  </si>
  <si>
    <t>Mitigar: Mostrar wallet activa claramente</t>
  </si>
  <si>
    <t>Diseño pendiente</t>
  </si>
  <si>
    <t>Robo del dispositivo del usuario</t>
  </si>
  <si>
    <t>App sin bloqueo rápido</t>
  </si>
  <si>
    <t>Acceso a fondos</t>
  </si>
  <si>
    <t>Evitar: Bloqueo automático estrictos</t>
  </si>
  <si>
    <t>Refuerzo UX</t>
  </si>
  <si>
    <t>No cargar comercios en mapa</t>
  </si>
  <si>
    <t>Fallo Firestore o conexión lenta</t>
  </si>
  <si>
    <t>Experiencia limitada</t>
  </si>
  <si>
    <t>Mitigar: Cachear comercios localmente</t>
  </si>
  <si>
    <t>Implementación parcial</t>
  </si>
  <si>
    <t>Fallo en versiones de Flutter</t>
  </si>
  <si>
    <t>Cambios de SDK rompen funciones</t>
  </si>
  <si>
    <t>Error general en la app</t>
  </si>
  <si>
    <t>Evitar: Congelar versión estable</t>
  </si>
  <si>
    <t>Requiere revisión semestral</t>
  </si>
  <si>
    <t>Interceptación de tráfico API</t>
  </si>
  <si>
    <t>Falta de HTTPS estricto</t>
  </si>
  <si>
    <t>Manipulación de datos</t>
  </si>
  <si>
    <t>Mitigar: Enforce HTTPS + SSL pinning</t>
  </si>
  <si>
    <t>Implementación en curso</t>
  </si>
  <si>
    <t>Usuarios pierden su semilla por no respaldarla</t>
  </si>
  <si>
    <t>Falta de educación al usuario</t>
  </si>
  <si>
    <t>Pérdida total de acceso a la cuenta</t>
  </si>
  <si>
    <t>Evitar: Mostrar advertencias y forzar validación de respaldo</t>
  </si>
  <si>
    <t>Agregar pantalla educativa</t>
  </si>
  <si>
    <t>Crash al abrir pantalla de Mercado</t>
  </si>
  <si>
    <t>Exceso de peticiones o falla en widgets</t>
  </si>
  <si>
    <t>Aplicación se cierra</t>
  </si>
  <si>
    <t>Mitigar: Optimizar carga y limitar llamadas</t>
  </si>
  <si>
    <t>Test en dispositivos gama baja</t>
  </si>
  <si>
    <t>Interceptación de QR malicioso</t>
  </si>
  <si>
    <t>Usuario escanea QR externo adulterado</t>
  </si>
  <si>
    <t>Mitigar: validar formato y red del QR</t>
  </si>
  <si>
    <t>Agregar verificador interno</t>
  </si>
  <si>
    <t>Fallo de Firestore por límite de escritura</t>
  </si>
  <si>
    <t>Usuarios simultáneos generando tráfico</t>
  </si>
  <si>
    <t>No se guardan datos</t>
  </si>
  <si>
    <t>Transferir: Habilitar modo offline + retry</t>
  </si>
  <si>
    <t>Revisión de métricas</t>
  </si>
  <si>
    <t>Legal</t>
  </si>
  <si>
    <t>Cambios regulatorios nacionales</t>
  </si>
  <si>
    <t>Normativas que afectan el uso de crypto</t>
  </si>
  <si>
    <t>Restricción de funcionalidades</t>
  </si>
  <si>
    <t>Transferir: Ajustar funcionalidad según legislación</t>
  </si>
  <si>
    <t>Revisión semestral</t>
  </si>
  <si>
    <t>Latencia alta al obtener precios de mercado</t>
  </si>
  <si>
    <t>Servidor de precios saturado</t>
  </si>
  <si>
    <t>Datos no actualizados</t>
  </si>
  <si>
    <t>Mitigar: Multi-API fallback</t>
  </si>
  <si>
    <t>Conectar API secundaria</t>
  </si>
  <si>
    <t>Error al actualizar balances automáticamente</t>
  </si>
  <si>
    <t>Job interno falla por timeout</t>
  </si>
  <si>
    <t>No se actualizan balances</t>
  </si>
  <si>
    <t>Mitigar: Aumentar timeout y reintentos</t>
  </si>
  <si>
    <t>Logs en revisión</t>
  </si>
  <si>
    <t>Phishing mediante app clon</t>
  </si>
  <si>
    <t>Apps falsas imitando LibreBit</t>
  </si>
  <si>
    <t>Usuarios entregan su semilla</t>
  </si>
  <si>
    <t>Evitar: Certificación en stores + advertencias</t>
  </si>
  <si>
    <t>Crear sello de autenticidad</t>
  </si>
  <si>
    <t>Fallo al iniciar sesión por semilla</t>
  </si>
  <si>
    <t>Semillas incorrectas o incompletas</t>
  </si>
  <si>
    <t>Usuarios bloqueados</t>
  </si>
  <si>
    <t>Mitigar: Validar formato BIP39</t>
  </si>
  <si>
    <t>Mejorar mensajes de error</t>
  </si>
  <si>
    <t>Error al renderizar múltiples billeteras</t>
  </si>
  <si>
    <t>Demasiados widgets simultáneos</t>
  </si>
  <si>
    <t>Lag en la interfaz</t>
  </si>
  <si>
    <t>Mitigar: Lazy load de wallets</t>
  </si>
  <si>
    <t>Optimización UI</t>
  </si>
  <si>
    <t>Sesión no cerrada correctamente</t>
  </si>
  <si>
    <t>Falla en tokens Firebase</t>
  </si>
  <si>
    <t>Permanencia de sesión no deseada</t>
  </si>
  <si>
    <t>Mitigar: Forzar renovación de tokens</t>
  </si>
  <si>
    <t>Aplicar logout activo</t>
  </si>
  <si>
    <t>Error al cargar comercios desde mapa</t>
  </si>
  <si>
    <t>Falta de conexión o permisos GPS</t>
  </si>
  <si>
    <t>Comercios no visibles</t>
  </si>
  <si>
    <t>Mitigar: Manejo de permisos y mensaje informativo</t>
  </si>
  <si>
    <t>Integración con Geolocator</t>
  </si>
  <si>
    <t>Fallo de animaciones del mapa</t>
  </si>
  <si>
    <t>Lag por animaciones pesadas</t>
  </si>
  <si>
    <t>Experiencia visual degradada</t>
  </si>
  <si>
    <t>Mitigar: Usar animaciones optimizadas</t>
  </si>
  <si>
    <t>Test en Android 8</t>
  </si>
  <si>
    <t>Robo de cuenta por ataque al dispositivo</t>
  </si>
  <si>
    <t>Malware que roba Clipboard</t>
  </si>
  <si>
    <t>Exposición de direcciones o semilla</t>
  </si>
  <si>
    <t>Mitigar: Advertencias y bloqueo de copiado de semilla</t>
  </si>
  <si>
    <t>Investigar copy-shield</t>
  </si>
  <si>
    <t>Fallo en integración LNbits</t>
  </si>
  <si>
    <t>Nodo externo reiniciado</t>
  </si>
  <si>
    <t>Pagos LN rechazados</t>
  </si>
  <si>
    <t>Transferir: Doble nodo redundante</t>
  </si>
  <si>
    <t>Probando conexión Voltage</t>
  </si>
  <si>
    <t>Error en notificaciones push</t>
  </si>
  <si>
    <t>Problemas con FCM</t>
  </si>
  <si>
    <t>Alertas no llegan</t>
  </si>
  <si>
    <t>Mitigar: Verificar tokens push</t>
  </si>
  <si>
    <t>Resuelto</t>
  </si>
  <si>
    <t>Pruebas OK en Android</t>
  </si>
  <si>
    <t>Rendimiento bajo en dispositivos viejos</t>
  </si>
  <si>
    <t>Falta de optimización en UI</t>
  </si>
  <si>
    <t>Lentitud general</t>
  </si>
  <si>
    <t>Mitigar: Modos de rendimiento reducido</t>
  </si>
  <si>
    <t>Pruebas en Moto E5</t>
  </si>
  <si>
    <t>Clonado de QR de comercio</t>
  </si>
  <si>
    <t>Alguien imprime QR falso</t>
  </si>
  <si>
    <t>Desvío de pagos</t>
  </si>
  <si>
    <t>Mitigar: Validación con firma interna del comercio</t>
  </si>
  <si>
    <t>Pendiente de arquitectura POS</t>
  </si>
  <si>
    <t>Error al recibir pagos BTC</t>
  </si>
  <si>
    <t>on-chain congestiona la red</t>
  </si>
  <si>
    <t>Retrasos largos</t>
  </si>
  <si>
    <t>Mitigar: Mostrar estimación de confirmaciones</t>
  </si>
  <si>
    <t>Mempool integrado</t>
  </si>
  <si>
    <t>Incompatibilidad con versiones nuevas de Android</t>
  </si>
  <si>
    <t>Cambios en permisos o APIs</t>
  </si>
  <si>
    <t>Fallas inesperadas</t>
  </si>
  <si>
    <t>Mitigar: Pruebas en beta channel</t>
  </si>
  <si>
    <t>Ajustes para Android 15</t>
  </si>
  <si>
    <t>Muy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</si>
</sst>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20"/>
      <color indexed="8"/>
      <name val="Calibri"/>
      <family val="2"/>
    </font>
    <font>
      <sz val="10"/>
      <color rgb="FF000000"/>
      <name val="Calibri"/>
      <family val="2"/>
    </font>
    <font>
      <b/>
      <sz val="9"/>
      <color rgb="FFFFFFFF"/>
      <name val="Arial"/>
      <family val="2"/>
    </font>
    <font>
      <sz val="9"/>
      <color rgb="FF595959"/>
      <name val="Calibri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  <font>
      <b/>
      <sz val="9"/>
      <name val="Calibri"/>
      <family val="2"/>
    </font>
    <font>
      <sz val="14"/>
      <color rgb="FF00006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EFF6D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</borders>
  <cellStyleXfs count="3">
    <xf numFmtId="0" fontId="0" fillId="0" borderId="0"/>
    <xf numFmtId="0" fontId="2" fillId="0" borderId="0"/>
    <xf numFmtId="0" fontId="2" fillId="0" borderId="0" applyBorder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hidden="1"/>
    </xf>
    <xf numFmtId="0" fontId="2" fillId="0" borderId="0" xfId="1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3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0" fillId="6" borderId="2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5" fillId="8" borderId="27" xfId="1" applyFont="1" applyFill="1" applyBorder="1" applyAlignment="1" applyProtection="1">
      <alignment horizontal="center" vertical="center"/>
      <protection hidden="1"/>
    </xf>
    <xf numFmtId="0" fontId="2" fillId="9" borderId="0" xfId="1" applyFill="1" applyProtection="1">
      <protection hidden="1"/>
    </xf>
    <xf numFmtId="0" fontId="2" fillId="9" borderId="16" xfId="1" applyFill="1" applyBorder="1" applyProtection="1"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0" fontId="5" fillId="9" borderId="28" xfId="1" applyFont="1" applyFill="1" applyBorder="1" applyAlignment="1" applyProtection="1">
      <alignment horizontal="center" vertical="center"/>
      <protection hidden="1"/>
    </xf>
    <xf numFmtId="0" fontId="4" fillId="10" borderId="4" xfId="1" applyFont="1" applyFill="1" applyBorder="1" applyAlignment="1" applyProtection="1">
      <alignment horizontal="center" vertical="center"/>
      <protection hidden="1"/>
    </xf>
    <xf numFmtId="0" fontId="4" fillId="7" borderId="5" xfId="1" applyFont="1" applyFill="1" applyBorder="1" applyAlignment="1" applyProtection="1">
      <alignment horizontal="center" vertical="center"/>
      <protection hidden="1"/>
    </xf>
    <xf numFmtId="0" fontId="4" fillId="5" borderId="4" xfId="1" applyFont="1" applyFill="1" applyBorder="1" applyAlignment="1" applyProtection="1">
      <alignment horizontal="center" vertical="center"/>
      <protection hidden="1"/>
    </xf>
    <xf numFmtId="0" fontId="4" fillId="10" borderId="5" xfId="1" applyFont="1" applyFill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4" fillId="11" borderId="7" xfId="1" applyFont="1" applyFill="1" applyBorder="1" applyAlignment="1" applyProtection="1">
      <alignment horizontal="center" vertical="center"/>
      <protection hidden="1"/>
    </xf>
    <xf numFmtId="0" fontId="4" fillId="5" borderId="8" xfId="1" applyFont="1" applyFill="1" applyBorder="1" applyAlignment="1" applyProtection="1">
      <alignment horizontal="center" vertical="center"/>
      <protection hidden="1"/>
    </xf>
    <xf numFmtId="0" fontId="4" fillId="10" borderId="8" xfId="1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5" fillId="8" borderId="28" xfId="1" applyFont="1" applyFill="1" applyBorder="1" applyAlignment="1" applyProtection="1">
      <alignment horizontal="center" vertical="center"/>
      <protection hidden="1"/>
    </xf>
    <xf numFmtId="0" fontId="2" fillId="9" borderId="17" xfId="1" applyFill="1" applyBorder="1" applyProtection="1">
      <protection hidden="1"/>
    </xf>
    <xf numFmtId="0" fontId="2" fillId="9" borderId="18" xfId="1" applyFill="1" applyBorder="1" applyProtection="1">
      <protection hidden="1"/>
    </xf>
    <xf numFmtId="0" fontId="2" fillId="9" borderId="19" xfId="1" applyFill="1" applyBorder="1" applyProtection="1">
      <protection hidden="1"/>
    </xf>
    <xf numFmtId="0" fontId="6" fillId="0" borderId="35" xfId="1" applyFont="1" applyBorder="1" applyAlignment="1" applyProtection="1">
      <alignment horizontal="center" vertical="center"/>
      <protection hidden="1"/>
    </xf>
    <xf numFmtId="49" fontId="6" fillId="0" borderId="37" xfId="1" applyNumberFormat="1" applyFont="1" applyBorder="1" applyAlignment="1" applyProtection="1">
      <alignment horizontal="center" vertical="center"/>
      <protection hidden="1"/>
    </xf>
    <xf numFmtId="0" fontId="2" fillId="0" borderId="5" xfId="1" applyBorder="1" applyAlignment="1" applyProtection="1">
      <alignment horizontal="center" vertical="center" wrapText="1"/>
      <protection locked="0" hidden="1"/>
    </xf>
    <xf numFmtId="0" fontId="2" fillId="0" borderId="5" xfId="1" applyBorder="1" applyAlignment="1" applyProtection="1">
      <alignment horizontal="left" vertical="center" wrapText="1"/>
      <protection locked="0" hidden="1"/>
    </xf>
    <xf numFmtId="0" fontId="2" fillId="2" borderId="5" xfId="1" applyFill="1" applyBorder="1" applyAlignment="1" applyProtection="1">
      <alignment horizontal="center" vertical="center" wrapText="1"/>
      <protection locked="0" hidden="1"/>
    </xf>
    <xf numFmtId="0" fontId="2" fillId="2" borderId="5" xfId="1" applyFill="1" applyBorder="1" applyAlignment="1" applyProtection="1">
      <alignment horizontal="left" vertical="center" wrapText="1"/>
      <protection locked="0" hidden="1"/>
    </xf>
    <xf numFmtId="14" fontId="2" fillId="0" borderId="5" xfId="1" applyNumberFormat="1" applyBorder="1" applyAlignment="1" applyProtection="1">
      <alignment horizontal="center" vertical="center" wrapText="1"/>
      <protection locked="0" hidden="1"/>
    </xf>
    <xf numFmtId="0" fontId="3" fillId="12" borderId="5" xfId="2" applyFont="1" applyFill="1" applyBorder="1" applyAlignment="1" applyProtection="1">
      <alignment horizontal="center" vertical="center" wrapText="1"/>
      <protection locked="0" hidden="1"/>
    </xf>
    <xf numFmtId="0" fontId="3" fillId="12" borderId="5" xfId="2" applyFont="1" applyFill="1" applyBorder="1" applyAlignment="1" applyProtection="1">
      <alignment horizontal="center" vertical="center" wrapText="1"/>
      <protection hidden="1"/>
    </xf>
    <xf numFmtId="0" fontId="9" fillId="14" borderId="23" xfId="0" applyFont="1" applyFill="1" applyBorder="1" applyAlignment="1">
      <alignment horizontal="justify"/>
    </xf>
    <xf numFmtId="0" fontId="9" fillId="0" borderId="1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3" borderId="19" xfId="0" applyFont="1" applyFill="1" applyBorder="1" applyAlignment="1">
      <alignment horizontal="justify"/>
    </xf>
    <xf numFmtId="0" fontId="9" fillId="15" borderId="19" xfId="0" applyFont="1" applyFill="1" applyBorder="1" applyAlignment="1">
      <alignment horizontal="justify"/>
    </xf>
    <xf numFmtId="0" fontId="9" fillId="4" borderId="19" xfId="0" applyFont="1" applyFill="1" applyBorder="1" applyAlignment="1">
      <alignment horizontal="justify"/>
    </xf>
    <xf numFmtId="0" fontId="9" fillId="16" borderId="19" xfId="0" applyFont="1" applyFill="1" applyBorder="1" applyAlignment="1">
      <alignment horizontal="justify"/>
    </xf>
    <xf numFmtId="0" fontId="0" fillId="0" borderId="5" xfId="0" applyBorder="1" applyAlignment="1">
      <alignment horizontal="center" vertical="center"/>
    </xf>
    <xf numFmtId="0" fontId="14" fillId="18" borderId="41" xfId="0" applyFont="1" applyFill="1" applyBorder="1" applyAlignment="1">
      <alignment horizontal="center" vertical="center" wrapText="1"/>
    </xf>
    <xf numFmtId="14" fontId="11" fillId="0" borderId="41" xfId="0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left" vertical="center" wrapText="1"/>
    </xf>
    <xf numFmtId="14" fontId="11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5" fillId="0" borderId="0" xfId="0" applyFont="1"/>
    <xf numFmtId="14" fontId="15" fillId="0" borderId="0" xfId="0" applyNumberFormat="1" applyFont="1"/>
    <xf numFmtId="0" fontId="5" fillId="0" borderId="5" xfId="1" applyFont="1" applyBorder="1" applyAlignment="1" applyProtection="1">
      <alignment horizontal="center" vertical="center" wrapText="1"/>
      <protection locked="0" hidden="1"/>
    </xf>
    <xf numFmtId="0" fontId="2" fillId="3" borderId="5" xfId="1" applyFill="1" applyBorder="1" applyAlignment="1" applyProtection="1">
      <alignment horizontal="center" vertical="center" wrapText="1"/>
      <protection locked="0" hidden="1"/>
    </xf>
    <xf numFmtId="0" fontId="1" fillId="3" borderId="20" xfId="0" applyFont="1" applyFill="1" applyBorder="1" applyAlignment="1" applyProtection="1">
      <alignment horizontal="center" vertical="center"/>
      <protection hidden="1"/>
    </xf>
    <xf numFmtId="0" fontId="1" fillId="3" borderId="21" xfId="0" applyFont="1" applyFill="1" applyBorder="1" applyAlignment="1" applyProtection="1">
      <alignment horizontal="center" vertical="center"/>
      <protection hidden="1"/>
    </xf>
    <xf numFmtId="0" fontId="7" fillId="8" borderId="24" xfId="1" applyFont="1" applyFill="1" applyBorder="1" applyAlignment="1" applyProtection="1">
      <alignment horizontal="center"/>
      <protection hidden="1"/>
    </xf>
    <xf numFmtId="0" fontId="7" fillId="8" borderId="25" xfId="1" applyFont="1" applyFill="1" applyBorder="1" applyAlignment="1" applyProtection="1">
      <alignment horizontal="center"/>
      <protection hidden="1"/>
    </xf>
    <xf numFmtId="0" fontId="7" fillId="8" borderId="26" xfId="1" applyFont="1" applyFill="1" applyBorder="1" applyAlignment="1" applyProtection="1">
      <alignment horizontal="center"/>
      <protection hidden="1"/>
    </xf>
    <xf numFmtId="0" fontId="7" fillId="9" borderId="15" xfId="1" applyFont="1" applyFill="1" applyBorder="1" applyAlignment="1" applyProtection="1">
      <alignment horizontal="center" vertical="center" textRotation="90"/>
      <protection hidden="1"/>
    </xf>
    <xf numFmtId="0" fontId="7" fillId="9" borderId="18" xfId="1" applyFont="1" applyFill="1" applyBorder="1" applyAlignment="1" applyProtection="1">
      <alignment horizontal="center" vertical="center"/>
      <protection hidden="1"/>
    </xf>
    <xf numFmtId="0" fontId="1" fillId="8" borderId="29" xfId="0" applyFont="1" applyFill="1" applyBorder="1" applyAlignment="1" applyProtection="1">
      <alignment horizontal="center" vertical="center"/>
      <protection hidden="1"/>
    </xf>
    <xf numFmtId="0" fontId="1" fillId="8" borderId="30" xfId="0" applyFont="1" applyFill="1" applyBorder="1" applyAlignment="1" applyProtection="1">
      <alignment horizontal="center" vertical="center"/>
      <protection hidden="1"/>
    </xf>
    <xf numFmtId="0" fontId="1" fillId="8" borderId="31" xfId="0" applyFont="1" applyFill="1" applyBorder="1" applyAlignment="1" applyProtection="1">
      <alignment horizontal="center" vertical="center"/>
      <protection hidden="1"/>
    </xf>
    <xf numFmtId="0" fontId="2" fillId="0" borderId="36" xfId="1" applyBorder="1" applyAlignment="1" applyProtection="1">
      <alignment horizontal="left" vertical="top" wrapText="1"/>
      <protection hidden="1"/>
    </xf>
    <xf numFmtId="0" fontId="2" fillId="0" borderId="33" xfId="1" applyBorder="1" applyAlignment="1" applyProtection="1">
      <alignment horizontal="left" vertical="top" wrapText="1"/>
      <protection hidden="1"/>
    </xf>
    <xf numFmtId="0" fontId="2" fillId="0" borderId="34" xfId="1" applyBorder="1" applyAlignment="1" applyProtection="1">
      <alignment horizontal="left" vertical="top" wrapText="1"/>
      <protection hidden="1"/>
    </xf>
    <xf numFmtId="0" fontId="1" fillId="3" borderId="13" xfId="0" applyFont="1" applyFill="1" applyBorder="1" applyAlignment="1" applyProtection="1">
      <alignment horizontal="center" vertical="center"/>
      <protection hidden="1"/>
    </xf>
    <xf numFmtId="0" fontId="1" fillId="3" borderId="22" xfId="0" applyFont="1" applyFill="1" applyBorder="1" applyAlignment="1" applyProtection="1">
      <alignment horizontal="center" vertical="center"/>
      <protection hidden="1"/>
    </xf>
    <xf numFmtId="0" fontId="1" fillId="0" borderId="32" xfId="0" applyFont="1" applyBorder="1" applyAlignment="1" applyProtection="1">
      <alignment horizontal="left" vertical="top"/>
      <protection hidden="1"/>
    </xf>
    <xf numFmtId="0" fontId="1" fillId="0" borderId="33" xfId="0" applyFont="1" applyBorder="1" applyAlignment="1" applyProtection="1">
      <alignment horizontal="left" vertical="top"/>
      <protection hidden="1"/>
    </xf>
    <xf numFmtId="0" fontId="1" fillId="0" borderId="34" xfId="0" applyFont="1" applyBorder="1" applyAlignment="1" applyProtection="1">
      <alignment horizontal="left" vertical="top"/>
      <protection hidden="1"/>
    </xf>
    <xf numFmtId="0" fontId="2" fillId="0" borderId="36" xfId="1" applyBorder="1" applyAlignment="1" applyProtection="1">
      <alignment horizontal="left" vertical="top"/>
      <protection hidden="1"/>
    </xf>
    <xf numFmtId="0" fontId="2" fillId="0" borderId="33" xfId="1" applyBorder="1" applyAlignment="1" applyProtection="1">
      <alignment horizontal="left" vertical="top"/>
      <protection hidden="1"/>
    </xf>
    <xf numFmtId="0" fontId="2" fillId="0" borderId="34" xfId="1" applyBorder="1" applyAlignment="1" applyProtection="1">
      <alignment horizontal="left" vertical="top"/>
      <protection hidden="1"/>
    </xf>
    <xf numFmtId="0" fontId="2" fillId="0" borderId="36" xfId="1" applyBorder="1" applyAlignment="1" applyProtection="1">
      <alignment horizontal="left" vertical="top" wrapText="1" indent="4"/>
      <protection hidden="1"/>
    </xf>
    <xf numFmtId="0" fontId="2" fillId="0" borderId="33" xfId="1" applyBorder="1" applyAlignment="1" applyProtection="1">
      <alignment horizontal="left" vertical="top" wrapText="1" indent="4"/>
      <protection hidden="1"/>
    </xf>
    <xf numFmtId="0" fontId="2" fillId="0" borderId="34" xfId="1" applyBorder="1" applyAlignment="1" applyProtection="1">
      <alignment horizontal="left" vertical="top" wrapText="1" indent="4"/>
      <protection hidden="1"/>
    </xf>
    <xf numFmtId="0" fontId="10" fillId="17" borderId="41" xfId="0" applyFont="1" applyFill="1" applyBorder="1" applyAlignment="1">
      <alignment horizontal="center" vertical="center" wrapText="1"/>
    </xf>
    <xf numFmtId="0" fontId="10" fillId="17" borderId="41" xfId="0" applyFont="1" applyFill="1" applyBorder="1" applyAlignment="1">
      <alignment horizontal="justify" vertical="center" wrapText="1"/>
    </xf>
    <xf numFmtId="0" fontId="11" fillId="0" borderId="41" xfId="0" applyFont="1" applyBorder="1" applyAlignment="1">
      <alignment horizontal="justify" vertical="center" wrapText="1"/>
    </xf>
    <xf numFmtId="0" fontId="12" fillId="2" borderId="41" xfId="0" applyFont="1" applyFill="1" applyBorder="1" applyAlignment="1">
      <alignment horizontal="justify" vertical="center" wrapText="1"/>
    </xf>
    <xf numFmtId="0" fontId="13" fillId="2" borderId="41" xfId="0" applyFont="1" applyFill="1" applyBorder="1" applyAlignment="1">
      <alignment horizontal="justify" vertical="center" wrapText="1"/>
    </xf>
    <xf numFmtId="0" fontId="9" fillId="14" borderId="13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0" fontId="9" fillId="14" borderId="22" xfId="0" applyFont="1" applyFill="1" applyBorder="1" applyAlignment="1">
      <alignment horizontal="center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8" fillId="13" borderId="40" xfId="0" applyFont="1" applyFill="1" applyBorder="1" applyAlignment="1" applyProtection="1">
      <alignment horizontal="center" vertical="center"/>
      <protection hidden="1"/>
    </xf>
    <xf numFmtId="0" fontId="8" fillId="13" borderId="39" xfId="0" applyFont="1" applyFill="1" applyBorder="1" applyAlignment="1" applyProtection="1">
      <alignment horizontal="center" vertical="center"/>
      <protection hidden="1"/>
    </xf>
    <xf numFmtId="0" fontId="3" fillId="12" borderId="5" xfId="2" applyFont="1" applyFill="1" applyBorder="1" applyAlignment="1" applyProtection="1">
      <alignment horizontal="left" vertical="center" wrapText="1"/>
      <protection locked="0" hidden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6" borderId="5" xfId="1" applyFill="1" applyBorder="1" applyAlignment="1" applyProtection="1">
      <alignment horizontal="center" vertical="center" wrapText="1"/>
      <protection locked="0" hidden="1"/>
    </xf>
    <xf numFmtId="0" fontId="2" fillId="19" borderId="5" xfId="1" applyFill="1" applyBorder="1" applyAlignment="1" applyProtection="1">
      <alignment horizontal="center" vertical="center" wrapText="1"/>
      <protection locked="0" hidden="1"/>
    </xf>
    <xf numFmtId="0" fontId="0" fillId="20" borderId="5" xfId="0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Border="1"/>
  </cellXfs>
  <cellStyles count="3">
    <cellStyle name="Normal" xfId="0" builtinId="0"/>
    <cellStyle name="Normal 2" xfId="1" xr:uid="{00000000-0005-0000-0000-000001000000}"/>
    <cellStyle name="Normal_Matriz de Riesgos" xfId="2" xr:uid="{00000000-0005-0000-0000-000002000000}"/>
  </cellStyles>
  <dxfs count="117"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EFF6D"/>
      <color rgb="FFFF0000"/>
      <color rgb="FF000066"/>
      <color rgb="FF66FF66"/>
      <color rgb="FFFFFF00"/>
      <color rgb="FF00FF00"/>
      <color rgb="FFCCFF99"/>
      <color rgb="FF009900"/>
      <color rgb="FFFFFF99"/>
      <color rgb="FFBEF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P6">
            <v>41152</v>
          </cell>
        </row>
        <row r="7">
          <cell r="P7">
            <v>41159</v>
          </cell>
        </row>
        <row r="8">
          <cell r="P8">
            <v>41166</v>
          </cell>
        </row>
        <row r="9">
          <cell r="P9">
            <v>41173</v>
          </cell>
        </row>
        <row r="10">
          <cell r="P10">
            <v>41180</v>
          </cell>
        </row>
        <row r="11">
          <cell r="P11">
            <v>41187</v>
          </cell>
        </row>
        <row r="12">
          <cell r="P12">
            <v>41194</v>
          </cell>
        </row>
        <row r="13">
          <cell r="P13">
            <v>41201</v>
          </cell>
        </row>
        <row r="14">
          <cell r="P14">
            <v>41208</v>
          </cell>
        </row>
        <row r="15">
          <cell r="P15">
            <v>41215</v>
          </cell>
        </row>
        <row r="16">
          <cell r="P16">
            <v>41222</v>
          </cell>
        </row>
        <row r="17">
          <cell r="P17">
            <v>41229</v>
          </cell>
        </row>
        <row r="18">
          <cell r="P18">
            <v>41236</v>
          </cell>
        </row>
        <row r="19">
          <cell r="P19">
            <v>41243</v>
          </cell>
        </row>
        <row r="20">
          <cell r="P20">
            <v>41250</v>
          </cell>
        </row>
        <row r="21">
          <cell r="P21">
            <v>41257</v>
          </cell>
        </row>
        <row r="22">
          <cell r="P22">
            <v>41264</v>
          </cell>
        </row>
        <row r="23">
          <cell r="P23">
            <v>41271</v>
          </cell>
        </row>
        <row r="24">
          <cell r="P24">
            <v>41278</v>
          </cell>
        </row>
        <row r="25">
          <cell r="P25">
            <v>41285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8">
    <tabColor rgb="FFFFC000"/>
  </sheetPr>
  <dimension ref="B2:Q21"/>
  <sheetViews>
    <sheetView topLeftCell="C1" zoomScale="120" zoomScaleNormal="120" workbookViewId="0">
      <selection activeCell="N9" sqref="N9"/>
    </sheetView>
  </sheetViews>
  <sheetFormatPr baseColWidth="10" defaultColWidth="11.42578125" defaultRowHeight="15"/>
  <cols>
    <col min="1" max="1" width="11.42578125" style="2"/>
    <col min="2" max="2" width="14" style="2" customWidth="1"/>
    <col min="3" max="8" width="11.42578125" style="2"/>
    <col min="9" max="9" width="7.5703125" style="2" customWidth="1"/>
    <col min="10" max="10" width="8.85546875" style="2" customWidth="1"/>
    <col min="11" max="11" width="9.140625" style="2" customWidth="1"/>
    <col min="12" max="16384" width="11.42578125" style="2"/>
  </cols>
  <sheetData>
    <row r="2" spans="2:17" ht="15.75" thickBot="1">
      <c r="O2" s="2" t="s">
        <v>31</v>
      </c>
    </row>
    <row r="3" spans="2:17" ht="60.75" thickBot="1">
      <c r="B3" s="62" t="s">
        <v>8</v>
      </c>
      <c r="C3" s="63"/>
      <c r="G3" s="3"/>
      <c r="H3" s="3"/>
      <c r="I3" s="3"/>
      <c r="J3" s="3"/>
      <c r="K3" s="3"/>
      <c r="L3" s="3"/>
      <c r="P3" s="4" t="s">
        <v>30</v>
      </c>
      <c r="Q3" s="4" t="s">
        <v>24</v>
      </c>
    </row>
    <row r="4" spans="2:17" ht="16.5" thickBot="1">
      <c r="B4" s="5" t="s">
        <v>9</v>
      </c>
      <c r="C4" s="6">
        <v>3</v>
      </c>
      <c r="G4" s="64" t="s">
        <v>12</v>
      </c>
      <c r="H4" s="65"/>
      <c r="I4" s="65"/>
      <c r="J4" s="65"/>
      <c r="K4" s="65"/>
      <c r="L4" s="66"/>
      <c r="O4" s="7" t="s">
        <v>7</v>
      </c>
      <c r="P4" s="8" t="s">
        <v>26</v>
      </c>
      <c r="Q4" s="9" t="s">
        <v>0</v>
      </c>
    </row>
    <row r="5" spans="2:17">
      <c r="B5" s="5" t="s">
        <v>10</v>
      </c>
      <c r="C5" s="6">
        <v>2</v>
      </c>
      <c r="G5" s="67"/>
      <c r="H5" s="10" t="s">
        <v>26</v>
      </c>
      <c r="I5" s="11"/>
      <c r="J5" s="11"/>
      <c r="K5" s="11"/>
      <c r="L5" s="12"/>
      <c r="O5" s="13">
        <f t="shared" ref="O5:O12" si="0">INDEX(MatrizRiesgo,MATCH(P5,ProbabilidadRiesgo,0),MATCH(Q5,ImpactoRiesgo,0))</f>
        <v>1</v>
      </c>
      <c r="P5" s="14" t="s">
        <v>13</v>
      </c>
      <c r="Q5" s="15" t="s">
        <v>9</v>
      </c>
    </row>
    <row r="6" spans="2:17" ht="21" thickBot="1">
      <c r="B6" s="16" t="s">
        <v>11</v>
      </c>
      <c r="C6" s="17">
        <v>1</v>
      </c>
      <c r="G6" s="67"/>
      <c r="H6" s="18" t="s">
        <v>13</v>
      </c>
      <c r="I6" s="19">
        <v>4</v>
      </c>
      <c r="J6" s="20">
        <v>2</v>
      </c>
      <c r="K6" s="20">
        <v>1</v>
      </c>
      <c r="L6" s="12"/>
      <c r="O6" s="13">
        <f t="shared" si="0"/>
        <v>3</v>
      </c>
      <c r="P6" s="14" t="s">
        <v>14</v>
      </c>
      <c r="Q6" s="15" t="s">
        <v>9</v>
      </c>
    </row>
    <row r="7" spans="2:17" ht="21" thickBot="1">
      <c r="G7" s="67"/>
      <c r="H7" s="18" t="s">
        <v>14</v>
      </c>
      <c r="I7" s="21">
        <v>7</v>
      </c>
      <c r="J7" s="22">
        <v>5</v>
      </c>
      <c r="K7" s="20">
        <v>3</v>
      </c>
      <c r="L7" s="12"/>
      <c r="O7" s="13">
        <f t="shared" si="0"/>
        <v>9</v>
      </c>
      <c r="P7" s="23" t="s">
        <v>15</v>
      </c>
      <c r="Q7" s="24" t="s">
        <v>11</v>
      </c>
    </row>
    <row r="8" spans="2:17" ht="21" thickBot="1">
      <c r="B8" s="75" t="s">
        <v>1</v>
      </c>
      <c r="C8" s="76"/>
      <c r="G8" s="67"/>
      <c r="H8" s="18" t="s">
        <v>15</v>
      </c>
      <c r="I8" s="25">
        <v>9</v>
      </c>
      <c r="J8" s="26">
        <v>8</v>
      </c>
      <c r="K8" s="27">
        <v>6</v>
      </c>
      <c r="L8" s="12"/>
      <c r="O8" s="13">
        <f t="shared" si="0"/>
        <v>7</v>
      </c>
      <c r="P8" s="23" t="s">
        <v>14</v>
      </c>
      <c r="Q8" s="24" t="s">
        <v>11</v>
      </c>
    </row>
    <row r="9" spans="2:17" ht="15.75" thickBot="1">
      <c r="B9" s="28" t="s">
        <v>6</v>
      </c>
      <c r="C9" s="29"/>
      <c r="G9" s="67"/>
      <c r="H9" s="11"/>
      <c r="I9" s="18" t="s">
        <v>11</v>
      </c>
      <c r="J9" s="18" t="s">
        <v>10</v>
      </c>
      <c r="K9" s="18" t="s">
        <v>9</v>
      </c>
      <c r="L9" s="30" t="s">
        <v>0</v>
      </c>
      <c r="O9" s="13">
        <f t="shared" si="0"/>
        <v>4</v>
      </c>
      <c r="P9" s="23" t="s">
        <v>13</v>
      </c>
      <c r="Q9" s="24" t="s">
        <v>11</v>
      </c>
    </row>
    <row r="10" spans="2:17" ht="16.5" thickBot="1">
      <c r="B10" s="5" t="s">
        <v>27</v>
      </c>
      <c r="C10" s="6"/>
      <c r="G10" s="31"/>
      <c r="H10" s="32"/>
      <c r="I10" s="68"/>
      <c r="J10" s="68"/>
      <c r="K10" s="68"/>
      <c r="L10" s="33"/>
      <c r="O10" s="13">
        <f t="shared" si="0"/>
        <v>7</v>
      </c>
      <c r="P10" s="23" t="s">
        <v>14</v>
      </c>
      <c r="Q10" s="24" t="s">
        <v>11</v>
      </c>
    </row>
    <row r="11" spans="2:17" ht="15.75" thickBot="1">
      <c r="B11" s="5" t="s">
        <v>28</v>
      </c>
      <c r="C11" s="6"/>
      <c r="O11" s="13">
        <f t="shared" si="0"/>
        <v>9</v>
      </c>
      <c r="P11" s="23" t="s">
        <v>15</v>
      </c>
      <c r="Q11" s="24" t="s">
        <v>11</v>
      </c>
    </row>
    <row r="12" spans="2:17" ht="15.75" thickBot="1">
      <c r="B12" s="16" t="s">
        <v>29</v>
      </c>
      <c r="C12" s="17"/>
      <c r="G12" s="69" t="s">
        <v>16</v>
      </c>
      <c r="H12" s="70"/>
      <c r="I12" s="70"/>
      <c r="J12" s="70"/>
      <c r="K12" s="70"/>
      <c r="L12" s="71"/>
      <c r="O12" s="13">
        <f t="shared" si="0"/>
        <v>4</v>
      </c>
      <c r="P12" s="23" t="s">
        <v>13</v>
      </c>
      <c r="Q12" s="24" t="s">
        <v>11</v>
      </c>
    </row>
    <row r="13" spans="2:17">
      <c r="G13" s="77" t="s">
        <v>17</v>
      </c>
      <c r="H13" s="78"/>
      <c r="I13" s="78"/>
      <c r="J13" s="78"/>
      <c r="K13" s="78"/>
      <c r="L13" s="79"/>
    </row>
    <row r="14" spans="2:17">
      <c r="G14" s="34" t="s">
        <v>18</v>
      </c>
      <c r="H14" s="80" t="s">
        <v>19</v>
      </c>
      <c r="I14" s="81"/>
      <c r="J14" s="81"/>
      <c r="K14" s="81"/>
      <c r="L14" s="82"/>
    </row>
    <row r="15" spans="2:17">
      <c r="G15" s="34" t="s">
        <v>20</v>
      </c>
      <c r="H15" s="72" t="s">
        <v>21</v>
      </c>
      <c r="I15" s="73"/>
      <c r="J15" s="73"/>
      <c r="K15" s="73"/>
      <c r="L15" s="74"/>
    </row>
    <row r="16" spans="2:17" ht="29.25" customHeight="1" thickBot="1">
      <c r="G16" s="34"/>
      <c r="H16" s="83" t="s">
        <v>22</v>
      </c>
      <c r="I16" s="84"/>
      <c r="J16" s="84"/>
      <c r="K16" s="84"/>
      <c r="L16" s="85"/>
    </row>
    <row r="17" spans="2:12" ht="29.25" customHeight="1" thickBot="1">
      <c r="B17" s="75" t="s">
        <v>32</v>
      </c>
      <c r="C17" s="76"/>
      <c r="G17" s="34"/>
      <c r="H17" s="83" t="s">
        <v>23</v>
      </c>
      <c r="I17" s="84"/>
      <c r="J17" s="84"/>
      <c r="K17" s="84"/>
      <c r="L17" s="85"/>
    </row>
    <row r="18" spans="2:12" ht="15.75" thickBot="1">
      <c r="B18" s="28" t="s">
        <v>33</v>
      </c>
      <c r="C18" s="29"/>
      <c r="G18" s="35">
        <v>9</v>
      </c>
      <c r="H18" s="72" t="s">
        <v>25</v>
      </c>
      <c r="I18" s="73"/>
      <c r="J18" s="73"/>
      <c r="K18" s="73"/>
      <c r="L18" s="74"/>
    </row>
    <row r="19" spans="2:12">
      <c r="B19" s="5" t="s">
        <v>27</v>
      </c>
      <c r="C19" s="6"/>
    </row>
    <row r="20" spans="2:12">
      <c r="B20" s="5" t="s">
        <v>28</v>
      </c>
      <c r="C20" s="6"/>
    </row>
    <row r="21" spans="2:12" ht="15.75" thickBot="1">
      <c r="B21" s="16" t="s">
        <v>29</v>
      </c>
      <c r="C21" s="17"/>
    </row>
  </sheetData>
  <sheetProtection sheet="1" objects="1" scenarios="1"/>
  <mergeCells count="13">
    <mergeCell ref="H18:L18"/>
    <mergeCell ref="B8:C8"/>
    <mergeCell ref="G13:L13"/>
    <mergeCell ref="H14:L14"/>
    <mergeCell ref="H15:L15"/>
    <mergeCell ref="H16:L16"/>
    <mergeCell ref="H17:L17"/>
    <mergeCell ref="B17:C17"/>
    <mergeCell ref="B3:C3"/>
    <mergeCell ref="G4:L4"/>
    <mergeCell ref="G5:G9"/>
    <mergeCell ref="I10:K10"/>
    <mergeCell ref="G12:L12"/>
  </mergeCells>
  <conditionalFormatting sqref="O5:O12"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Q5:Q12" xr:uid="{00000000-0002-0000-0000-000000000000}">
      <formula1>ImpactoRiesgo</formula1>
    </dataValidation>
    <dataValidation type="list" allowBlank="1" showInputMessage="1" showErrorMessage="1" sqref="P5:P12" xr:uid="{00000000-0002-0000-0000-000001000000}">
      <formula1>ProbabilidadRiesgo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2AF39690-D233-4A0B-BBDF-2CD25F0DF700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C4:C6</xm:sqref>
        </x14:conditionalFormatting>
        <x14:conditionalFormatting xmlns:xm="http://schemas.microsoft.com/office/excel/2006/main">
          <x14:cfRule type="iconSet" priority="4" id="{AF4853A1-2ADE-4937-A700-9444D37D3924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C9:C11</xm:sqref>
        </x14:conditionalFormatting>
        <x14:conditionalFormatting xmlns:xm="http://schemas.microsoft.com/office/excel/2006/main">
          <x14:cfRule type="iconSet" priority="3" id="{06D4FA7B-D869-4CD5-A5EC-B96DF1542684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C12</xm:sqref>
        </x14:conditionalFormatting>
        <x14:conditionalFormatting xmlns:xm="http://schemas.microsoft.com/office/excel/2006/main">
          <x14:cfRule type="iconSet" priority="2" id="{48F9F5AE-BE3E-4997-BF2C-F2D3D71FEBD2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C18:C20</xm:sqref>
        </x14:conditionalFormatting>
        <x14:conditionalFormatting xmlns:xm="http://schemas.microsoft.com/office/excel/2006/main">
          <x14:cfRule type="iconSet" priority="1" id="{3584219A-03E5-4D38-B477-1EBC7A7EF94F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C20" sqref="C20"/>
    </sheetView>
  </sheetViews>
  <sheetFormatPr baseColWidth="10" defaultRowHeight="15"/>
  <cols>
    <col min="1" max="1" width="26" bestFit="1" customWidth="1"/>
    <col min="2" max="2" width="32.5703125" customWidth="1"/>
    <col min="3" max="3" width="28.28515625" customWidth="1"/>
    <col min="4" max="4" width="54.7109375" customWidth="1"/>
  </cols>
  <sheetData>
    <row r="1" spans="1:4" ht="18.75">
      <c r="A1" s="58" t="s">
        <v>60</v>
      </c>
    </row>
    <row r="2" spans="1:4" ht="18.75">
      <c r="A2" s="58" t="s">
        <v>64</v>
      </c>
    </row>
    <row r="3" spans="1:4" ht="18.75">
      <c r="A3" s="59">
        <v>42852</v>
      </c>
    </row>
    <row r="5" spans="1:4">
      <c r="A5" s="87" t="s">
        <v>47</v>
      </c>
      <c r="B5" s="87"/>
      <c r="C5" s="87"/>
      <c r="D5" s="87"/>
    </row>
    <row r="6" spans="1:4">
      <c r="A6" s="88" t="s">
        <v>48</v>
      </c>
      <c r="B6" s="88"/>
      <c r="C6" s="88"/>
      <c r="D6" s="88"/>
    </row>
    <row r="7" spans="1:4">
      <c r="A7" s="87" t="s">
        <v>49</v>
      </c>
      <c r="B7" s="87"/>
      <c r="C7" s="87"/>
      <c r="D7" s="87"/>
    </row>
    <row r="8" spans="1:4">
      <c r="A8" s="89" t="s">
        <v>59</v>
      </c>
      <c r="B8" s="89"/>
      <c r="C8" s="89"/>
      <c r="D8" s="89"/>
    </row>
    <row r="9" spans="1:4">
      <c r="A9" s="90" t="s">
        <v>50</v>
      </c>
      <c r="B9" s="90"/>
      <c r="C9" s="90"/>
      <c r="D9" s="90"/>
    </row>
    <row r="10" spans="1:4">
      <c r="A10" s="86" t="s">
        <v>51</v>
      </c>
      <c r="B10" s="86"/>
      <c r="C10" s="86"/>
      <c r="D10" s="86"/>
    </row>
    <row r="11" spans="1:4">
      <c r="A11" s="51" t="s">
        <v>52</v>
      </c>
      <c r="B11" s="51" t="s">
        <v>53</v>
      </c>
      <c r="C11" s="51" t="s">
        <v>54</v>
      </c>
      <c r="D11" s="51" t="s">
        <v>55</v>
      </c>
    </row>
    <row r="12" spans="1:4">
      <c r="A12" s="52">
        <v>45978</v>
      </c>
      <c r="B12" s="53" t="s">
        <v>65</v>
      </c>
      <c r="C12" s="53" t="s">
        <v>56</v>
      </c>
      <c r="D12" s="54" t="s">
        <v>57</v>
      </c>
    </row>
    <row r="13" spans="1:4">
      <c r="A13" s="55"/>
      <c r="B13" s="56"/>
      <c r="C13" s="56"/>
      <c r="D13" s="57"/>
    </row>
    <row r="14" spans="1:4">
      <c r="A14" s="56"/>
      <c r="B14" s="56"/>
      <c r="C14" s="56"/>
      <c r="D14" s="57"/>
    </row>
    <row r="15" spans="1:4">
      <c r="A15" s="86" t="s">
        <v>58</v>
      </c>
      <c r="B15" s="86"/>
      <c r="C15" s="86"/>
      <c r="D15" s="86"/>
    </row>
    <row r="16" spans="1:4">
      <c r="A16" s="51" t="s">
        <v>52</v>
      </c>
      <c r="B16" s="51" t="s">
        <v>53</v>
      </c>
      <c r="C16" s="51" t="s">
        <v>54</v>
      </c>
      <c r="D16" s="51" t="s">
        <v>55</v>
      </c>
    </row>
    <row r="17" spans="1:4">
      <c r="A17" s="52">
        <v>45978</v>
      </c>
      <c r="B17" s="53" t="s">
        <v>65</v>
      </c>
      <c r="C17" s="53" t="s">
        <v>56</v>
      </c>
      <c r="D17" s="54" t="s">
        <v>61</v>
      </c>
    </row>
    <row r="18" spans="1:4">
      <c r="A18" s="52"/>
      <c r="B18" s="53"/>
      <c r="C18" s="53"/>
      <c r="D18" s="54"/>
    </row>
    <row r="19" spans="1:4">
      <c r="A19" s="52"/>
      <c r="B19" s="53"/>
      <c r="C19" s="53"/>
      <c r="D19" s="54"/>
    </row>
    <row r="20" spans="1:4">
      <c r="A20" s="52"/>
      <c r="B20" s="53"/>
      <c r="C20" s="53"/>
      <c r="D20" s="54"/>
    </row>
    <row r="21" spans="1:4">
      <c r="A21" s="52"/>
      <c r="B21" s="53"/>
      <c r="C21" s="53"/>
      <c r="D21" s="54"/>
    </row>
    <row r="22" spans="1:4">
      <c r="A22" s="52"/>
      <c r="B22" s="53"/>
      <c r="C22" s="53"/>
      <c r="D22" s="54"/>
    </row>
    <row r="23" spans="1:4">
      <c r="A23" s="52"/>
      <c r="B23" s="53"/>
      <c r="C23" s="53"/>
      <c r="D23" s="54"/>
    </row>
  </sheetData>
  <mergeCells count="7">
    <mergeCell ref="A15:D15"/>
    <mergeCell ref="A5:D5"/>
    <mergeCell ref="A6:D6"/>
    <mergeCell ref="A7:D7"/>
    <mergeCell ref="A8:D8"/>
    <mergeCell ref="A9:D9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S52"/>
  <sheetViews>
    <sheetView tabSelected="1" topLeftCell="B1" zoomScale="70" zoomScaleNormal="70" workbookViewId="0">
      <selection activeCell="N51" sqref="N51"/>
    </sheetView>
  </sheetViews>
  <sheetFormatPr baseColWidth="10" defaultRowHeight="15"/>
  <cols>
    <col min="1" max="1" width="4.140625" customWidth="1"/>
    <col min="2" max="2" width="15.140625" customWidth="1"/>
    <col min="3" max="3" width="13.5703125" customWidth="1"/>
    <col min="4" max="4" width="23.28515625" customWidth="1"/>
    <col min="5" max="5" width="47.85546875" customWidth="1"/>
    <col min="6" max="6" width="32.28515625" customWidth="1"/>
    <col min="7" max="7" width="17.5703125" customWidth="1"/>
    <col min="8" max="8" width="14.5703125" style="1" customWidth="1"/>
    <col min="9" max="10" width="15" style="95" customWidth="1"/>
    <col min="11" max="11" width="15" style="1" customWidth="1"/>
    <col min="12" max="12" width="33.140625" customWidth="1"/>
    <col min="13" max="13" width="17.28515625" customWidth="1"/>
    <col min="14" max="14" width="12.7109375" customWidth="1"/>
    <col min="16" max="16" width="41" style="99" customWidth="1"/>
  </cols>
  <sheetData>
    <row r="1" spans="1:19" ht="25.9" customHeight="1">
      <c r="A1" s="96" t="s">
        <v>45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9" ht="30">
      <c r="A2" s="41" t="s">
        <v>34</v>
      </c>
      <c r="B2" s="41" t="s">
        <v>2</v>
      </c>
      <c r="C2" s="41" t="s">
        <v>44</v>
      </c>
      <c r="D2" s="41" t="s">
        <v>37</v>
      </c>
      <c r="E2" s="41" t="s">
        <v>3</v>
      </c>
      <c r="F2" s="41" t="s">
        <v>43</v>
      </c>
      <c r="G2" s="41" t="s">
        <v>35</v>
      </c>
      <c r="H2" s="41" t="s">
        <v>0</v>
      </c>
      <c r="I2" s="42" t="s">
        <v>63</v>
      </c>
      <c r="J2" s="42" t="s">
        <v>62</v>
      </c>
      <c r="K2" s="41" t="s">
        <v>7</v>
      </c>
      <c r="L2" s="41" t="s">
        <v>36</v>
      </c>
      <c r="M2" s="41" t="s">
        <v>4</v>
      </c>
      <c r="N2" s="41" t="s">
        <v>5</v>
      </c>
      <c r="O2" s="41" t="s">
        <v>1</v>
      </c>
      <c r="P2" s="98" t="s">
        <v>46</v>
      </c>
    </row>
    <row r="3" spans="1:19" ht="127.5" customHeight="1">
      <c r="A3" s="36">
        <v>1</v>
      </c>
      <c r="B3" s="105">
        <v>45978</v>
      </c>
      <c r="C3" s="39" t="s">
        <v>38</v>
      </c>
      <c r="D3" s="39" t="s">
        <v>66</v>
      </c>
      <c r="E3" s="39" t="s">
        <v>67</v>
      </c>
      <c r="F3" s="36" t="s">
        <v>68</v>
      </c>
      <c r="G3" s="61" t="s">
        <v>14</v>
      </c>
      <c r="H3" s="102" t="s">
        <v>13</v>
      </c>
      <c r="I3" s="94">
        <v>3</v>
      </c>
      <c r="J3" s="50">
        <v>4</v>
      </c>
      <c r="K3" s="36" t="s">
        <v>13</v>
      </c>
      <c r="L3" s="36" t="s">
        <v>69</v>
      </c>
      <c r="M3" s="40" t="s">
        <v>70</v>
      </c>
      <c r="N3" s="106">
        <v>45985</v>
      </c>
      <c r="O3" s="60" t="s">
        <v>249</v>
      </c>
      <c r="P3" s="99" t="s">
        <v>71</v>
      </c>
      <c r="Q3" s="104"/>
      <c r="S3" s="104"/>
    </row>
    <row r="4" spans="1:19" ht="127.5" customHeight="1">
      <c r="A4" s="38">
        <v>2</v>
      </c>
      <c r="B4" s="105">
        <v>45978</v>
      </c>
      <c r="C4" s="39" t="s">
        <v>38</v>
      </c>
      <c r="D4" s="39" t="s">
        <v>72</v>
      </c>
      <c r="E4" s="39" t="s">
        <v>73</v>
      </c>
      <c r="F4" s="39" t="s">
        <v>74</v>
      </c>
      <c r="G4" s="61" t="s">
        <v>14</v>
      </c>
      <c r="H4" s="102" t="s">
        <v>13</v>
      </c>
      <c r="I4" s="94">
        <v>3</v>
      </c>
      <c r="J4" s="94">
        <v>4</v>
      </c>
      <c r="K4" s="50" t="s">
        <v>13</v>
      </c>
      <c r="L4" s="37" t="s">
        <v>75</v>
      </c>
      <c r="M4" s="36" t="s">
        <v>70</v>
      </c>
      <c r="N4" s="106">
        <v>45985</v>
      </c>
      <c r="O4" s="60" t="s">
        <v>249</v>
      </c>
      <c r="P4" s="100" t="s">
        <v>77</v>
      </c>
    </row>
    <row r="5" spans="1:19" ht="127.5" customHeight="1">
      <c r="A5" s="38">
        <v>3</v>
      </c>
      <c r="B5" s="105">
        <v>45978</v>
      </c>
      <c r="C5" s="39" t="s">
        <v>39</v>
      </c>
      <c r="D5" s="39" t="s">
        <v>78</v>
      </c>
      <c r="E5" s="39" t="s">
        <v>79</v>
      </c>
      <c r="F5" s="39" t="s">
        <v>80</v>
      </c>
      <c r="G5" s="101" t="s">
        <v>15</v>
      </c>
      <c r="H5" s="103" t="s">
        <v>271</v>
      </c>
      <c r="I5" s="94">
        <v>2</v>
      </c>
      <c r="J5" s="94">
        <v>5</v>
      </c>
      <c r="K5" s="50" t="s">
        <v>13</v>
      </c>
      <c r="L5" s="37" t="s">
        <v>81</v>
      </c>
      <c r="M5" s="36" t="s">
        <v>70</v>
      </c>
      <c r="N5" s="106">
        <v>45985</v>
      </c>
      <c r="O5" s="60" t="s">
        <v>249</v>
      </c>
      <c r="P5" s="100" t="s">
        <v>82</v>
      </c>
    </row>
    <row r="6" spans="1:19" ht="127.5" customHeight="1">
      <c r="A6" s="38">
        <v>4</v>
      </c>
      <c r="B6" s="105">
        <v>45978</v>
      </c>
      <c r="C6" s="39" t="s">
        <v>83</v>
      </c>
      <c r="D6" s="39" t="s">
        <v>84</v>
      </c>
      <c r="E6" s="39" t="s">
        <v>85</v>
      </c>
      <c r="F6" s="39" t="s">
        <v>86</v>
      </c>
      <c r="G6" s="102" t="s">
        <v>13</v>
      </c>
      <c r="H6" s="61" t="s">
        <v>14</v>
      </c>
      <c r="I6" s="94">
        <v>4</v>
      </c>
      <c r="J6" s="94">
        <v>3</v>
      </c>
      <c r="K6" s="50" t="s">
        <v>13</v>
      </c>
      <c r="L6" s="37" t="s">
        <v>87</v>
      </c>
      <c r="M6" s="36" t="s">
        <v>70</v>
      </c>
      <c r="N6" s="106">
        <v>45985</v>
      </c>
      <c r="O6" s="60" t="s">
        <v>249</v>
      </c>
      <c r="P6" s="100" t="s">
        <v>88</v>
      </c>
    </row>
    <row r="7" spans="1:19" ht="127.5" customHeight="1">
      <c r="A7" s="38">
        <v>5</v>
      </c>
      <c r="B7" s="105">
        <v>45978</v>
      </c>
      <c r="C7" s="39" t="s">
        <v>38</v>
      </c>
      <c r="D7" s="39" t="s">
        <v>89</v>
      </c>
      <c r="E7" s="39" t="s">
        <v>90</v>
      </c>
      <c r="F7" s="39" t="s">
        <v>91</v>
      </c>
      <c r="G7" s="101" t="s">
        <v>15</v>
      </c>
      <c r="H7" s="102" t="s">
        <v>13</v>
      </c>
      <c r="I7" s="94">
        <v>2</v>
      </c>
      <c r="J7" s="94">
        <v>4</v>
      </c>
      <c r="K7" s="50" t="s">
        <v>14</v>
      </c>
      <c r="L7" s="37" t="s">
        <v>92</v>
      </c>
      <c r="M7" s="36" t="s">
        <v>70</v>
      </c>
      <c r="N7" s="106">
        <v>45985</v>
      </c>
      <c r="O7" s="60" t="s">
        <v>249</v>
      </c>
      <c r="P7" s="37" t="s">
        <v>93</v>
      </c>
    </row>
    <row r="8" spans="1:19" ht="127.5" customHeight="1">
      <c r="A8" s="38">
        <v>6</v>
      </c>
      <c r="B8" s="105">
        <v>45978</v>
      </c>
      <c r="C8" s="39" t="s">
        <v>39</v>
      </c>
      <c r="D8" s="39" t="s">
        <v>94</v>
      </c>
      <c r="E8" s="39" t="s">
        <v>95</v>
      </c>
      <c r="F8" s="39" t="s">
        <v>96</v>
      </c>
      <c r="G8" s="61" t="s">
        <v>14</v>
      </c>
      <c r="H8" s="102" t="s">
        <v>13</v>
      </c>
      <c r="I8" s="94">
        <v>3</v>
      </c>
      <c r="J8" s="94">
        <v>4</v>
      </c>
      <c r="K8" s="50" t="s">
        <v>13</v>
      </c>
      <c r="L8" s="37" t="s">
        <v>97</v>
      </c>
      <c r="M8" s="36" t="s">
        <v>70</v>
      </c>
      <c r="N8" s="106">
        <v>45985</v>
      </c>
      <c r="O8" s="60" t="s">
        <v>249</v>
      </c>
      <c r="P8" s="37" t="s">
        <v>98</v>
      </c>
    </row>
    <row r="9" spans="1:19" ht="127.5" customHeight="1">
      <c r="A9" s="38">
        <v>7</v>
      </c>
      <c r="B9" s="105">
        <v>45978</v>
      </c>
      <c r="C9" s="39" t="s">
        <v>83</v>
      </c>
      <c r="D9" s="39" t="s">
        <v>99</v>
      </c>
      <c r="E9" s="39" t="s">
        <v>100</v>
      </c>
      <c r="F9" s="39" t="s">
        <v>101</v>
      </c>
      <c r="G9" s="61" t="s">
        <v>14</v>
      </c>
      <c r="H9" s="61" t="s">
        <v>14</v>
      </c>
      <c r="I9" s="94">
        <v>3</v>
      </c>
      <c r="J9" s="94">
        <v>3</v>
      </c>
      <c r="K9" s="50" t="s">
        <v>14</v>
      </c>
      <c r="L9" s="37" t="s">
        <v>102</v>
      </c>
      <c r="M9" s="36" t="s">
        <v>70</v>
      </c>
      <c r="N9" s="106">
        <v>45985</v>
      </c>
      <c r="O9" s="60" t="s">
        <v>249</v>
      </c>
      <c r="P9" s="37" t="s">
        <v>103</v>
      </c>
    </row>
    <row r="10" spans="1:19" ht="127.5" customHeight="1">
      <c r="A10" s="38">
        <v>8</v>
      </c>
      <c r="B10" s="105">
        <v>45978</v>
      </c>
      <c r="C10" s="39" t="s">
        <v>38</v>
      </c>
      <c r="D10" s="39" t="s">
        <v>104</v>
      </c>
      <c r="E10" s="39" t="s">
        <v>105</v>
      </c>
      <c r="F10" s="39" t="s">
        <v>106</v>
      </c>
      <c r="G10" s="102" t="s">
        <v>13</v>
      </c>
      <c r="H10" s="61" t="s">
        <v>14</v>
      </c>
      <c r="I10" s="94">
        <v>4</v>
      </c>
      <c r="J10" s="94">
        <v>3</v>
      </c>
      <c r="K10" s="50" t="s">
        <v>13</v>
      </c>
      <c r="L10" s="37" t="s">
        <v>107</v>
      </c>
      <c r="M10" s="36" t="s">
        <v>70</v>
      </c>
      <c r="N10" s="106">
        <v>45985</v>
      </c>
      <c r="O10" s="60" t="s">
        <v>249</v>
      </c>
      <c r="P10" s="37" t="s">
        <v>108</v>
      </c>
    </row>
    <row r="11" spans="1:19" ht="127.5" customHeight="1">
      <c r="A11" s="38">
        <v>9</v>
      </c>
      <c r="B11" s="105">
        <v>45978</v>
      </c>
      <c r="C11" s="39" t="s">
        <v>39</v>
      </c>
      <c r="D11" s="39" t="s">
        <v>109</v>
      </c>
      <c r="E11" s="39" t="s">
        <v>110</v>
      </c>
      <c r="F11" s="39" t="s">
        <v>111</v>
      </c>
      <c r="G11" s="101" t="s">
        <v>15</v>
      </c>
      <c r="H11" s="61" t="s">
        <v>14</v>
      </c>
      <c r="I11" s="94">
        <v>2</v>
      </c>
      <c r="J11" s="94">
        <v>3</v>
      </c>
      <c r="K11" s="50" t="s">
        <v>14</v>
      </c>
      <c r="L11" s="37" t="s">
        <v>112</v>
      </c>
      <c r="M11" s="36" t="s">
        <v>70</v>
      </c>
      <c r="N11" s="106">
        <v>45985</v>
      </c>
      <c r="O11" s="60" t="s">
        <v>249</v>
      </c>
      <c r="P11" s="37" t="s">
        <v>113</v>
      </c>
    </row>
    <row r="12" spans="1:19" ht="127.5" customHeight="1">
      <c r="A12" s="38">
        <v>10</v>
      </c>
      <c r="B12" s="105">
        <v>45978</v>
      </c>
      <c r="C12" s="39" t="s">
        <v>38</v>
      </c>
      <c r="D12" s="39" t="s">
        <v>114</v>
      </c>
      <c r="E12" s="39" t="s">
        <v>115</v>
      </c>
      <c r="F12" s="39" t="s">
        <v>116</v>
      </c>
      <c r="G12" s="61" t="s">
        <v>14</v>
      </c>
      <c r="H12" s="102" t="s">
        <v>13</v>
      </c>
      <c r="I12" s="94">
        <v>3</v>
      </c>
      <c r="J12" s="94">
        <v>4</v>
      </c>
      <c r="K12" s="50" t="s">
        <v>13</v>
      </c>
      <c r="L12" s="37" t="s">
        <v>117</v>
      </c>
      <c r="M12" s="36" t="s">
        <v>70</v>
      </c>
      <c r="N12" s="106">
        <v>45985</v>
      </c>
      <c r="O12" s="60" t="s">
        <v>249</v>
      </c>
      <c r="P12" s="37" t="s">
        <v>118</v>
      </c>
    </row>
    <row r="13" spans="1:19" ht="127.5" customHeight="1">
      <c r="A13" s="38">
        <v>11</v>
      </c>
      <c r="B13" s="105">
        <v>45978</v>
      </c>
      <c r="C13" s="39" t="s">
        <v>83</v>
      </c>
      <c r="D13" s="39" t="s">
        <v>119</v>
      </c>
      <c r="E13" s="39" t="s">
        <v>120</v>
      </c>
      <c r="F13" s="39" t="s">
        <v>121</v>
      </c>
      <c r="G13" s="102" t="s">
        <v>13</v>
      </c>
      <c r="H13" s="102" t="s">
        <v>13</v>
      </c>
      <c r="I13" s="94">
        <v>4</v>
      </c>
      <c r="J13" s="94">
        <v>4</v>
      </c>
      <c r="K13" s="50" t="s">
        <v>122</v>
      </c>
      <c r="L13" s="37" t="s">
        <v>123</v>
      </c>
      <c r="M13" s="36" t="s">
        <v>70</v>
      </c>
      <c r="N13" s="106">
        <v>45985</v>
      </c>
      <c r="O13" s="60" t="s">
        <v>249</v>
      </c>
      <c r="P13" s="37" t="s">
        <v>124</v>
      </c>
    </row>
    <row r="14" spans="1:19" ht="127.5" customHeight="1">
      <c r="A14" s="38">
        <v>12</v>
      </c>
      <c r="B14" s="105">
        <v>45978</v>
      </c>
      <c r="C14" s="39" t="s">
        <v>38</v>
      </c>
      <c r="D14" s="39" t="s">
        <v>125</v>
      </c>
      <c r="E14" s="39" t="s">
        <v>126</v>
      </c>
      <c r="F14" s="39" t="s">
        <v>127</v>
      </c>
      <c r="G14" s="102" t="s">
        <v>13</v>
      </c>
      <c r="H14" s="102" t="s">
        <v>13</v>
      </c>
      <c r="I14" s="94">
        <v>4</v>
      </c>
      <c r="J14" s="94">
        <v>4</v>
      </c>
      <c r="K14" s="50" t="s">
        <v>122</v>
      </c>
      <c r="L14" s="37" t="s">
        <v>128</v>
      </c>
      <c r="M14" s="36" t="s">
        <v>70</v>
      </c>
      <c r="N14" s="107">
        <v>46006</v>
      </c>
      <c r="O14" s="60" t="s">
        <v>76</v>
      </c>
      <c r="P14" s="37" t="s">
        <v>129</v>
      </c>
    </row>
    <row r="15" spans="1:19" ht="127.5" customHeight="1">
      <c r="A15" s="38">
        <v>13</v>
      </c>
      <c r="B15" s="105">
        <v>45978</v>
      </c>
      <c r="C15" s="39" t="s">
        <v>39</v>
      </c>
      <c r="D15" s="39" t="s">
        <v>130</v>
      </c>
      <c r="E15" s="39" t="s">
        <v>131</v>
      </c>
      <c r="F15" s="39" t="s">
        <v>132</v>
      </c>
      <c r="G15" s="101" t="s">
        <v>15</v>
      </c>
      <c r="H15" s="103" t="s">
        <v>271</v>
      </c>
      <c r="I15" s="94">
        <v>2</v>
      </c>
      <c r="J15" s="94">
        <v>5</v>
      </c>
      <c r="K15" s="50" t="s">
        <v>13</v>
      </c>
      <c r="L15" s="37" t="s">
        <v>133</v>
      </c>
      <c r="M15" s="36" t="s">
        <v>70</v>
      </c>
      <c r="N15" s="106">
        <v>45985</v>
      </c>
      <c r="O15" s="60" t="s">
        <v>249</v>
      </c>
      <c r="P15" s="37" t="s">
        <v>134</v>
      </c>
    </row>
    <row r="16" spans="1:19" ht="127.5" customHeight="1">
      <c r="A16" s="38">
        <v>14</v>
      </c>
      <c r="B16" s="105">
        <v>45978</v>
      </c>
      <c r="C16" s="39" t="s">
        <v>83</v>
      </c>
      <c r="D16" s="39" t="s">
        <v>135</v>
      </c>
      <c r="E16" s="39" t="s">
        <v>136</v>
      </c>
      <c r="F16" s="39" t="s">
        <v>137</v>
      </c>
      <c r="G16" s="61" t="s">
        <v>14</v>
      </c>
      <c r="H16" s="61" t="s">
        <v>14</v>
      </c>
      <c r="I16" s="94">
        <v>3</v>
      </c>
      <c r="J16" s="94">
        <v>3</v>
      </c>
      <c r="K16" s="50" t="s">
        <v>14</v>
      </c>
      <c r="L16" s="37" t="s">
        <v>138</v>
      </c>
      <c r="M16" s="36" t="s">
        <v>70</v>
      </c>
      <c r="N16" s="106">
        <v>45985</v>
      </c>
      <c r="O16" s="60" t="s">
        <v>249</v>
      </c>
      <c r="P16" s="37" t="s">
        <v>139</v>
      </c>
    </row>
    <row r="17" spans="1:16" ht="127.5" customHeight="1">
      <c r="A17" s="38">
        <v>15</v>
      </c>
      <c r="B17" s="105">
        <v>45978</v>
      </c>
      <c r="C17" s="39" t="s">
        <v>38</v>
      </c>
      <c r="D17" s="39" t="s">
        <v>140</v>
      </c>
      <c r="E17" s="39" t="s">
        <v>141</v>
      </c>
      <c r="F17" s="39" t="s">
        <v>142</v>
      </c>
      <c r="G17" s="101" t="s">
        <v>15</v>
      </c>
      <c r="H17" s="102" t="s">
        <v>13</v>
      </c>
      <c r="I17" s="94">
        <v>2</v>
      </c>
      <c r="J17" s="94">
        <v>4</v>
      </c>
      <c r="K17" s="50" t="s">
        <v>14</v>
      </c>
      <c r="L17" s="37" t="s">
        <v>143</v>
      </c>
      <c r="M17" s="36" t="s">
        <v>70</v>
      </c>
      <c r="N17" s="106">
        <v>45985</v>
      </c>
      <c r="O17" s="60" t="s">
        <v>249</v>
      </c>
      <c r="P17" s="37" t="s">
        <v>144</v>
      </c>
    </row>
    <row r="18" spans="1:16" ht="127.5" customHeight="1">
      <c r="A18" s="38">
        <v>16</v>
      </c>
      <c r="B18" s="105">
        <v>45978</v>
      </c>
      <c r="C18" s="39" t="s">
        <v>83</v>
      </c>
      <c r="D18" s="39" t="s">
        <v>145</v>
      </c>
      <c r="E18" s="39" t="s">
        <v>146</v>
      </c>
      <c r="F18" s="39" t="s">
        <v>147</v>
      </c>
      <c r="G18" s="61" t="s">
        <v>14</v>
      </c>
      <c r="H18" s="61" t="s">
        <v>14</v>
      </c>
      <c r="I18" s="94">
        <v>3</v>
      </c>
      <c r="J18" s="94">
        <v>3</v>
      </c>
      <c r="K18" s="50" t="s">
        <v>14</v>
      </c>
      <c r="L18" s="37" t="s">
        <v>148</v>
      </c>
      <c r="M18" s="36" t="s">
        <v>70</v>
      </c>
      <c r="N18" s="106">
        <v>45985</v>
      </c>
      <c r="O18" s="60" t="s">
        <v>249</v>
      </c>
      <c r="P18" s="37" t="s">
        <v>149</v>
      </c>
    </row>
    <row r="19" spans="1:16" ht="127.5" customHeight="1">
      <c r="A19" s="38">
        <v>17</v>
      </c>
      <c r="B19" s="105">
        <v>45978</v>
      </c>
      <c r="C19" s="39" t="s">
        <v>39</v>
      </c>
      <c r="D19" s="39" t="s">
        <v>150</v>
      </c>
      <c r="E19" s="39" t="s">
        <v>151</v>
      </c>
      <c r="F19" s="39" t="s">
        <v>152</v>
      </c>
      <c r="G19" s="61" t="s">
        <v>14</v>
      </c>
      <c r="H19" s="103" t="s">
        <v>271</v>
      </c>
      <c r="I19" s="94">
        <v>3</v>
      </c>
      <c r="J19" s="94">
        <v>5</v>
      </c>
      <c r="K19" s="50" t="s">
        <v>13</v>
      </c>
      <c r="L19" s="37" t="s">
        <v>153</v>
      </c>
      <c r="M19" s="36" t="s">
        <v>70</v>
      </c>
      <c r="N19" s="106">
        <v>45985</v>
      </c>
      <c r="O19" s="60" t="s">
        <v>249</v>
      </c>
      <c r="P19" s="37" t="s">
        <v>154</v>
      </c>
    </row>
    <row r="20" spans="1:16" ht="127.5" customHeight="1">
      <c r="A20" s="38">
        <v>18</v>
      </c>
      <c r="B20" s="105">
        <v>45978</v>
      </c>
      <c r="C20" s="39" t="s">
        <v>83</v>
      </c>
      <c r="D20" s="39" t="s">
        <v>155</v>
      </c>
      <c r="E20" s="39" t="s">
        <v>156</v>
      </c>
      <c r="F20" s="39" t="s">
        <v>157</v>
      </c>
      <c r="G20" s="61" t="s">
        <v>14</v>
      </c>
      <c r="H20" s="61" t="s">
        <v>14</v>
      </c>
      <c r="I20" s="94">
        <v>3</v>
      </c>
      <c r="J20" s="94">
        <v>3</v>
      </c>
      <c r="K20" s="50" t="s">
        <v>14</v>
      </c>
      <c r="L20" s="37" t="s">
        <v>158</v>
      </c>
      <c r="M20" s="36" t="s">
        <v>70</v>
      </c>
      <c r="N20" s="106">
        <v>45985</v>
      </c>
      <c r="O20" s="60" t="s">
        <v>249</v>
      </c>
      <c r="P20" s="37" t="s">
        <v>159</v>
      </c>
    </row>
    <row r="21" spans="1:16" ht="127.5" customHeight="1">
      <c r="A21" s="38">
        <v>19</v>
      </c>
      <c r="B21" s="105">
        <v>45978</v>
      </c>
      <c r="C21" s="39" t="s">
        <v>38</v>
      </c>
      <c r="D21" s="39" t="s">
        <v>160</v>
      </c>
      <c r="E21" s="39" t="s">
        <v>161</v>
      </c>
      <c r="F21" s="39" t="s">
        <v>162</v>
      </c>
      <c r="G21" s="102" t="s">
        <v>13</v>
      </c>
      <c r="H21" s="102" t="s">
        <v>13</v>
      </c>
      <c r="I21" s="94">
        <v>4</v>
      </c>
      <c r="J21" s="94">
        <v>4</v>
      </c>
      <c r="K21" s="50" t="s">
        <v>122</v>
      </c>
      <c r="L21" s="37" t="s">
        <v>163</v>
      </c>
      <c r="M21" s="36" t="s">
        <v>70</v>
      </c>
      <c r="N21" s="106">
        <v>45985</v>
      </c>
      <c r="O21" s="60" t="s">
        <v>249</v>
      </c>
      <c r="P21" s="37" t="s">
        <v>164</v>
      </c>
    </row>
    <row r="22" spans="1:16" ht="127.5" customHeight="1">
      <c r="A22" s="38">
        <v>20</v>
      </c>
      <c r="B22" s="105">
        <v>45978</v>
      </c>
      <c r="C22" s="39" t="s">
        <v>39</v>
      </c>
      <c r="D22" s="39" t="s">
        <v>165</v>
      </c>
      <c r="E22" s="39" t="s">
        <v>166</v>
      </c>
      <c r="F22" s="39" t="s">
        <v>167</v>
      </c>
      <c r="G22" s="61" t="s">
        <v>14</v>
      </c>
      <c r="H22" s="103" t="s">
        <v>271</v>
      </c>
      <c r="I22" s="94">
        <v>3</v>
      </c>
      <c r="J22" s="94">
        <v>5</v>
      </c>
      <c r="K22" s="50" t="s">
        <v>13</v>
      </c>
      <c r="L22" s="37" t="s">
        <v>168</v>
      </c>
      <c r="M22" s="36" t="s">
        <v>70</v>
      </c>
      <c r="N22" s="106">
        <v>45985</v>
      </c>
      <c r="O22" s="60" t="s">
        <v>249</v>
      </c>
      <c r="P22" s="37" t="s">
        <v>169</v>
      </c>
    </row>
    <row r="23" spans="1:16" ht="15" hidden="1" customHeight="1">
      <c r="A23" s="38"/>
      <c r="B23" s="105">
        <v>45978</v>
      </c>
      <c r="C23" s="39"/>
      <c r="D23" s="39"/>
      <c r="E23" s="39"/>
      <c r="F23" s="39"/>
      <c r="G23" s="36"/>
      <c r="H23" s="36"/>
      <c r="I23" s="94"/>
      <c r="J23" s="94"/>
      <c r="K23" s="50"/>
      <c r="L23" s="37"/>
      <c r="M23" s="36"/>
      <c r="N23" s="106">
        <v>45985</v>
      </c>
      <c r="O23" s="60"/>
      <c r="P23" s="37"/>
    </row>
    <row r="24" spans="1:16" ht="15" hidden="1" customHeight="1">
      <c r="A24" s="38"/>
      <c r="B24" s="105">
        <v>45978</v>
      </c>
      <c r="C24" s="39"/>
      <c r="D24" s="39"/>
      <c r="E24" s="39"/>
      <c r="F24" s="39"/>
      <c r="G24" s="36"/>
      <c r="H24" s="36"/>
      <c r="I24" s="94"/>
      <c r="J24" s="94"/>
      <c r="K24" s="50"/>
      <c r="L24" s="37"/>
      <c r="M24" s="36"/>
      <c r="N24" s="106">
        <v>45985</v>
      </c>
      <c r="O24" s="60"/>
      <c r="P24" s="37"/>
    </row>
    <row r="25" spans="1:16" ht="15" hidden="1" customHeight="1">
      <c r="A25" s="38"/>
      <c r="B25" s="105">
        <v>45978</v>
      </c>
      <c r="C25" s="39"/>
      <c r="D25" s="39"/>
      <c r="E25" s="39"/>
      <c r="F25" s="39"/>
      <c r="G25" s="36"/>
      <c r="H25" s="36"/>
      <c r="I25" s="94"/>
      <c r="J25" s="94"/>
      <c r="K25" s="50"/>
      <c r="L25" s="37"/>
      <c r="M25" s="36"/>
      <c r="N25" s="106">
        <v>45985</v>
      </c>
      <c r="O25" s="60"/>
      <c r="P25" s="37"/>
    </row>
    <row r="26" spans="1:16" ht="15" hidden="1" customHeight="1">
      <c r="A26" s="38"/>
      <c r="B26" s="105">
        <v>45978</v>
      </c>
      <c r="C26" s="39"/>
      <c r="D26" s="39"/>
      <c r="E26" s="39"/>
      <c r="F26" s="39"/>
      <c r="G26" s="36"/>
      <c r="H26" s="36"/>
      <c r="I26" s="94"/>
      <c r="J26" s="94"/>
      <c r="K26" s="50"/>
      <c r="L26" s="37"/>
      <c r="M26" s="36"/>
      <c r="N26" s="106">
        <v>45985</v>
      </c>
      <c r="O26" s="60"/>
      <c r="P26" s="37"/>
    </row>
    <row r="27" spans="1:16" ht="15" hidden="1" customHeight="1">
      <c r="A27" s="38"/>
      <c r="B27" s="105">
        <v>45978</v>
      </c>
      <c r="C27" s="39"/>
      <c r="D27" s="39"/>
      <c r="E27" s="39"/>
      <c r="F27" s="39"/>
      <c r="G27" s="36"/>
      <c r="H27" s="36"/>
      <c r="I27" s="94"/>
      <c r="J27" s="94"/>
      <c r="K27" s="50"/>
      <c r="L27" s="37"/>
      <c r="M27" s="36"/>
      <c r="N27" s="106">
        <v>45985</v>
      </c>
      <c r="O27" s="60"/>
      <c r="P27" s="37"/>
    </row>
    <row r="28" spans="1:16" ht="15" hidden="1" customHeight="1">
      <c r="A28" s="38"/>
      <c r="B28" s="105">
        <v>45978</v>
      </c>
      <c r="C28" s="39"/>
      <c r="D28" s="39"/>
      <c r="E28" s="39"/>
      <c r="F28" s="39"/>
      <c r="G28" s="36"/>
      <c r="H28" s="36"/>
      <c r="I28" s="94"/>
      <c r="J28" s="94"/>
      <c r="K28" s="50"/>
      <c r="L28" s="37"/>
      <c r="M28" s="36"/>
      <c r="N28" s="106">
        <v>45985</v>
      </c>
      <c r="O28" s="60"/>
      <c r="P28" s="37"/>
    </row>
    <row r="29" spans="1:16" ht="15" hidden="1" customHeight="1">
      <c r="A29" s="38"/>
      <c r="B29" s="105">
        <v>45978</v>
      </c>
      <c r="C29" s="39"/>
      <c r="D29" s="39"/>
      <c r="E29" s="39"/>
      <c r="F29" s="39"/>
      <c r="G29" s="36"/>
      <c r="H29" s="36"/>
      <c r="I29" s="94"/>
      <c r="J29" s="94"/>
      <c r="K29" s="50"/>
      <c r="L29" s="37"/>
      <c r="M29" s="36"/>
      <c r="N29" s="106">
        <v>45985</v>
      </c>
      <c r="O29" s="60"/>
      <c r="P29" s="37"/>
    </row>
    <row r="30" spans="1:16" ht="15" hidden="1" customHeight="1">
      <c r="A30" s="38"/>
      <c r="B30" s="105">
        <v>45978</v>
      </c>
      <c r="C30" s="39"/>
      <c r="D30" s="39"/>
      <c r="E30" s="39"/>
      <c r="F30" s="39"/>
      <c r="G30" s="36"/>
      <c r="H30" s="36"/>
      <c r="I30" s="94"/>
      <c r="J30" s="94"/>
      <c r="K30" s="50"/>
      <c r="L30" s="37"/>
      <c r="M30" s="36"/>
      <c r="N30" s="106">
        <v>45985</v>
      </c>
      <c r="O30" s="60"/>
      <c r="P30" s="37"/>
    </row>
    <row r="31" spans="1:16" ht="15" hidden="1" customHeight="1">
      <c r="A31" s="38"/>
      <c r="B31" s="105">
        <v>45978</v>
      </c>
      <c r="C31" s="39"/>
      <c r="D31" s="39"/>
      <c r="E31" s="39"/>
      <c r="F31" s="39"/>
      <c r="G31" s="36"/>
      <c r="H31" s="36"/>
      <c r="I31" s="94"/>
      <c r="J31" s="94"/>
      <c r="K31" s="50"/>
      <c r="L31" s="37"/>
      <c r="M31" s="36"/>
      <c r="N31" s="106">
        <v>45985</v>
      </c>
      <c r="O31" s="60"/>
      <c r="P31" s="37"/>
    </row>
    <row r="32" spans="1:16" ht="15" hidden="1" customHeight="1">
      <c r="A32" s="38"/>
      <c r="B32" s="105">
        <v>45978</v>
      </c>
      <c r="C32" s="39"/>
      <c r="D32" s="39"/>
      <c r="E32" s="39"/>
      <c r="F32" s="39"/>
      <c r="G32" s="36"/>
      <c r="H32" s="36"/>
      <c r="I32" s="94"/>
      <c r="J32" s="94"/>
      <c r="K32" s="50"/>
      <c r="L32" s="37"/>
      <c r="M32" s="36"/>
      <c r="N32" s="106">
        <v>45985</v>
      </c>
      <c r="O32" s="60"/>
      <c r="P32" s="37"/>
    </row>
    <row r="33" spans="1:16" ht="127.5" customHeight="1">
      <c r="A33" s="38">
        <v>21</v>
      </c>
      <c r="B33" s="105">
        <v>45978</v>
      </c>
      <c r="C33" s="39" t="s">
        <v>83</v>
      </c>
      <c r="D33" s="39" t="s">
        <v>170</v>
      </c>
      <c r="E33" s="39" t="s">
        <v>171</v>
      </c>
      <c r="F33" s="39" t="s">
        <v>172</v>
      </c>
      <c r="G33" s="102" t="s">
        <v>13</v>
      </c>
      <c r="H33" s="103" t="s">
        <v>271</v>
      </c>
      <c r="I33" s="94">
        <v>4</v>
      </c>
      <c r="J33" s="94">
        <v>5</v>
      </c>
      <c r="K33" s="50" t="s">
        <v>122</v>
      </c>
      <c r="L33" s="37" t="s">
        <v>173</v>
      </c>
      <c r="M33" s="36" t="s">
        <v>70</v>
      </c>
      <c r="N33" s="106">
        <v>45985</v>
      </c>
      <c r="O33" s="60" t="s">
        <v>249</v>
      </c>
      <c r="P33" s="37" t="s">
        <v>174</v>
      </c>
    </row>
    <row r="34" spans="1:16" ht="127.5" customHeight="1">
      <c r="A34" s="38">
        <v>22</v>
      </c>
      <c r="B34" s="105">
        <v>45978</v>
      </c>
      <c r="C34" s="39" t="s">
        <v>38</v>
      </c>
      <c r="D34" s="39" t="s">
        <v>175</v>
      </c>
      <c r="E34" s="39" t="s">
        <v>176</v>
      </c>
      <c r="F34" s="39" t="s">
        <v>177</v>
      </c>
      <c r="G34" s="61" t="s">
        <v>14</v>
      </c>
      <c r="H34" s="102" t="s">
        <v>13</v>
      </c>
      <c r="I34" s="94">
        <v>3</v>
      </c>
      <c r="J34" s="94">
        <v>4</v>
      </c>
      <c r="K34" s="50" t="s">
        <v>13</v>
      </c>
      <c r="L34" s="37" t="s">
        <v>178</v>
      </c>
      <c r="M34" s="36" t="s">
        <v>70</v>
      </c>
      <c r="N34" s="106">
        <v>45985</v>
      </c>
      <c r="O34" s="60" t="s">
        <v>249</v>
      </c>
      <c r="P34" s="37" t="s">
        <v>179</v>
      </c>
    </row>
    <row r="35" spans="1:16" ht="127.5" customHeight="1">
      <c r="A35" s="38">
        <v>23</v>
      </c>
      <c r="B35" s="105">
        <v>45978</v>
      </c>
      <c r="C35" s="39" t="s">
        <v>39</v>
      </c>
      <c r="D35" s="39" t="s">
        <v>180</v>
      </c>
      <c r="E35" s="39" t="s">
        <v>181</v>
      </c>
      <c r="F35" s="39" t="s">
        <v>132</v>
      </c>
      <c r="G35" s="101" t="s">
        <v>15</v>
      </c>
      <c r="H35" s="103" t="s">
        <v>271</v>
      </c>
      <c r="I35" s="94">
        <v>2</v>
      </c>
      <c r="J35" s="94">
        <v>5</v>
      </c>
      <c r="K35" s="50" t="s">
        <v>13</v>
      </c>
      <c r="L35" s="37" t="s">
        <v>182</v>
      </c>
      <c r="M35" s="36" t="s">
        <v>70</v>
      </c>
      <c r="N35" s="106">
        <v>45985</v>
      </c>
      <c r="O35" s="60" t="s">
        <v>249</v>
      </c>
      <c r="P35" s="37" t="s">
        <v>183</v>
      </c>
    </row>
    <row r="36" spans="1:16" ht="127.5" customHeight="1">
      <c r="A36" s="38">
        <v>24</v>
      </c>
      <c r="B36" s="105">
        <v>45978</v>
      </c>
      <c r="C36" s="39" t="s">
        <v>83</v>
      </c>
      <c r="D36" s="39" t="s">
        <v>184</v>
      </c>
      <c r="E36" s="39" t="s">
        <v>185</v>
      </c>
      <c r="F36" s="39" t="s">
        <v>186</v>
      </c>
      <c r="G36" s="61" t="s">
        <v>14</v>
      </c>
      <c r="H36" s="102" t="s">
        <v>13</v>
      </c>
      <c r="I36" s="94">
        <v>3</v>
      </c>
      <c r="J36" s="94">
        <v>4</v>
      </c>
      <c r="K36" s="50" t="s">
        <v>13</v>
      </c>
      <c r="L36" s="37" t="s">
        <v>187</v>
      </c>
      <c r="M36" s="36" t="s">
        <v>70</v>
      </c>
      <c r="N36" s="106">
        <v>45985</v>
      </c>
      <c r="O36" s="60" t="s">
        <v>249</v>
      </c>
      <c r="P36" s="37" t="s">
        <v>188</v>
      </c>
    </row>
    <row r="37" spans="1:16" ht="127.5" customHeight="1">
      <c r="A37" s="38">
        <v>25</v>
      </c>
      <c r="B37" s="105">
        <v>45978</v>
      </c>
      <c r="C37" s="39" t="s">
        <v>189</v>
      </c>
      <c r="D37" s="39" t="s">
        <v>190</v>
      </c>
      <c r="E37" s="39" t="s">
        <v>191</v>
      </c>
      <c r="F37" s="39" t="s">
        <v>192</v>
      </c>
      <c r="G37" s="101" t="s">
        <v>15</v>
      </c>
      <c r="H37" s="102" t="s">
        <v>13</v>
      </c>
      <c r="I37" s="94">
        <v>2</v>
      </c>
      <c r="J37" s="94">
        <v>4</v>
      </c>
      <c r="K37" s="50" t="s">
        <v>14</v>
      </c>
      <c r="L37" s="37" t="s">
        <v>193</v>
      </c>
      <c r="M37" s="36" t="s">
        <v>70</v>
      </c>
      <c r="N37" s="106">
        <v>45985</v>
      </c>
      <c r="O37" s="60" t="s">
        <v>249</v>
      </c>
      <c r="P37" s="37" t="s">
        <v>194</v>
      </c>
    </row>
    <row r="38" spans="1:16" ht="127.5" customHeight="1">
      <c r="A38" s="38">
        <v>26</v>
      </c>
      <c r="B38" s="105">
        <v>45978</v>
      </c>
      <c r="C38" s="39" t="s">
        <v>83</v>
      </c>
      <c r="D38" s="39" t="s">
        <v>195</v>
      </c>
      <c r="E38" s="39" t="s">
        <v>196</v>
      </c>
      <c r="F38" s="39" t="s">
        <v>197</v>
      </c>
      <c r="G38" s="102" t="s">
        <v>13</v>
      </c>
      <c r="H38" s="61" t="s">
        <v>14</v>
      </c>
      <c r="I38" s="94">
        <v>4</v>
      </c>
      <c r="J38" s="94">
        <v>3</v>
      </c>
      <c r="K38" s="50" t="s">
        <v>13</v>
      </c>
      <c r="L38" s="37" t="s">
        <v>198</v>
      </c>
      <c r="M38" s="36" t="s">
        <v>70</v>
      </c>
      <c r="N38" s="106">
        <v>45985</v>
      </c>
      <c r="O38" s="60" t="s">
        <v>249</v>
      </c>
      <c r="P38" s="37" t="s">
        <v>199</v>
      </c>
    </row>
    <row r="39" spans="1:16" ht="127.5" customHeight="1">
      <c r="A39" s="38">
        <v>27</v>
      </c>
      <c r="B39" s="105">
        <v>45978</v>
      </c>
      <c r="C39" s="39" t="s">
        <v>38</v>
      </c>
      <c r="D39" s="39" t="s">
        <v>200</v>
      </c>
      <c r="E39" s="39" t="s">
        <v>201</v>
      </c>
      <c r="F39" s="39" t="s">
        <v>202</v>
      </c>
      <c r="G39" s="61" t="s">
        <v>14</v>
      </c>
      <c r="H39" s="61" t="s">
        <v>14</v>
      </c>
      <c r="I39" s="94">
        <v>3</v>
      </c>
      <c r="J39" s="94">
        <v>3</v>
      </c>
      <c r="K39" s="50" t="s">
        <v>14</v>
      </c>
      <c r="L39" s="37" t="s">
        <v>203</v>
      </c>
      <c r="M39" s="36" t="s">
        <v>70</v>
      </c>
      <c r="N39" s="106">
        <v>45985</v>
      </c>
      <c r="O39" s="60" t="s">
        <v>249</v>
      </c>
      <c r="P39" s="37" t="s">
        <v>204</v>
      </c>
    </row>
    <row r="40" spans="1:16" ht="127.5" customHeight="1">
      <c r="A40" s="38">
        <v>28</v>
      </c>
      <c r="B40" s="105">
        <v>45978</v>
      </c>
      <c r="C40" s="39" t="s">
        <v>39</v>
      </c>
      <c r="D40" s="39" t="s">
        <v>205</v>
      </c>
      <c r="E40" s="39" t="s">
        <v>206</v>
      </c>
      <c r="F40" s="39" t="s">
        <v>207</v>
      </c>
      <c r="G40" s="61" t="s">
        <v>14</v>
      </c>
      <c r="H40" s="103" t="s">
        <v>271</v>
      </c>
      <c r="I40" s="94">
        <v>3</v>
      </c>
      <c r="J40" s="94">
        <v>5</v>
      </c>
      <c r="K40" s="50" t="s">
        <v>13</v>
      </c>
      <c r="L40" s="37" t="s">
        <v>208</v>
      </c>
      <c r="M40" s="36" t="s">
        <v>70</v>
      </c>
      <c r="N40" s="106">
        <v>45985</v>
      </c>
      <c r="O40" s="60" t="s">
        <v>249</v>
      </c>
      <c r="P40" s="37" t="s">
        <v>209</v>
      </c>
    </row>
    <row r="41" spans="1:16" ht="127.5" customHeight="1">
      <c r="A41" s="38">
        <v>29</v>
      </c>
      <c r="B41" s="105">
        <v>45978</v>
      </c>
      <c r="C41" s="39" t="s">
        <v>83</v>
      </c>
      <c r="D41" s="39" t="s">
        <v>210</v>
      </c>
      <c r="E41" s="39" t="s">
        <v>211</v>
      </c>
      <c r="F41" s="39" t="s">
        <v>212</v>
      </c>
      <c r="G41" s="61" t="s">
        <v>14</v>
      </c>
      <c r="H41" s="61" t="s">
        <v>14</v>
      </c>
      <c r="I41" s="94">
        <v>3</v>
      </c>
      <c r="J41" s="94">
        <v>3</v>
      </c>
      <c r="K41" s="50" t="s">
        <v>14</v>
      </c>
      <c r="L41" s="37" t="s">
        <v>213</v>
      </c>
      <c r="M41" s="36" t="s">
        <v>70</v>
      </c>
      <c r="N41" s="106">
        <v>45985</v>
      </c>
      <c r="O41" s="60" t="s">
        <v>249</v>
      </c>
      <c r="P41" s="37" t="s">
        <v>214</v>
      </c>
    </row>
    <row r="42" spans="1:16" ht="127.5" customHeight="1">
      <c r="A42" s="38">
        <v>30</v>
      </c>
      <c r="B42" s="105">
        <v>45978</v>
      </c>
      <c r="C42" s="39" t="s">
        <v>38</v>
      </c>
      <c r="D42" s="39" t="s">
        <v>215</v>
      </c>
      <c r="E42" s="39" t="s">
        <v>216</v>
      </c>
      <c r="F42" s="39" t="s">
        <v>217</v>
      </c>
      <c r="G42" s="61" t="s">
        <v>14</v>
      </c>
      <c r="H42" s="61" t="s">
        <v>14</v>
      </c>
      <c r="I42" s="94">
        <v>3</v>
      </c>
      <c r="J42" s="94">
        <v>3</v>
      </c>
      <c r="K42" s="50" t="s">
        <v>14</v>
      </c>
      <c r="L42" s="37" t="s">
        <v>218</v>
      </c>
      <c r="M42" s="36" t="s">
        <v>70</v>
      </c>
      <c r="N42" s="106">
        <v>45985</v>
      </c>
      <c r="O42" s="60" t="s">
        <v>249</v>
      </c>
      <c r="P42" s="37" t="s">
        <v>219</v>
      </c>
    </row>
    <row r="43" spans="1:16" ht="127.5" customHeight="1">
      <c r="A43" s="38">
        <v>31</v>
      </c>
      <c r="B43" s="105">
        <v>45978</v>
      </c>
      <c r="C43" s="39" t="s">
        <v>39</v>
      </c>
      <c r="D43" s="39" t="s">
        <v>220</v>
      </c>
      <c r="E43" s="39" t="s">
        <v>221</v>
      </c>
      <c r="F43" s="39" t="s">
        <v>222</v>
      </c>
      <c r="G43" s="61" t="s">
        <v>14</v>
      </c>
      <c r="H43" s="102" t="s">
        <v>13</v>
      </c>
      <c r="I43" s="94">
        <v>3</v>
      </c>
      <c r="J43" s="94">
        <v>4</v>
      </c>
      <c r="K43" s="50" t="s">
        <v>13</v>
      </c>
      <c r="L43" s="37" t="s">
        <v>223</v>
      </c>
      <c r="M43" s="36" t="s">
        <v>70</v>
      </c>
      <c r="N43" s="106">
        <v>45985</v>
      </c>
      <c r="O43" s="60" t="s">
        <v>249</v>
      </c>
      <c r="P43" s="37" t="s">
        <v>224</v>
      </c>
    </row>
    <row r="44" spans="1:16" ht="127.5" customHeight="1">
      <c r="A44" s="38">
        <v>32</v>
      </c>
      <c r="B44" s="105">
        <v>45978</v>
      </c>
      <c r="C44" s="39" t="s">
        <v>83</v>
      </c>
      <c r="D44" s="39" t="s">
        <v>225</v>
      </c>
      <c r="E44" s="39" t="s">
        <v>226</v>
      </c>
      <c r="F44" s="39" t="s">
        <v>227</v>
      </c>
      <c r="G44" s="61" t="s">
        <v>14</v>
      </c>
      <c r="H44" s="61" t="s">
        <v>14</v>
      </c>
      <c r="I44" s="94">
        <v>3</v>
      </c>
      <c r="J44" s="94">
        <v>3</v>
      </c>
      <c r="K44" s="50" t="s">
        <v>14</v>
      </c>
      <c r="L44" s="37" t="s">
        <v>228</v>
      </c>
      <c r="M44" s="36" t="s">
        <v>70</v>
      </c>
      <c r="N44" s="106">
        <v>45985</v>
      </c>
      <c r="O44" s="60" t="s">
        <v>249</v>
      </c>
      <c r="P44" s="37" t="s">
        <v>229</v>
      </c>
    </row>
    <row r="45" spans="1:16" ht="127.5" customHeight="1">
      <c r="A45" s="38">
        <v>33</v>
      </c>
      <c r="B45" s="105">
        <v>45978</v>
      </c>
      <c r="C45" s="39" t="s">
        <v>38</v>
      </c>
      <c r="D45" s="39" t="s">
        <v>230</v>
      </c>
      <c r="E45" s="39" t="s">
        <v>231</v>
      </c>
      <c r="F45" s="39" t="s">
        <v>232</v>
      </c>
      <c r="G45" s="101" t="s">
        <v>15</v>
      </c>
      <c r="H45" s="61" t="s">
        <v>14</v>
      </c>
      <c r="I45" s="94">
        <v>2</v>
      </c>
      <c r="J45" s="94">
        <v>3</v>
      </c>
      <c r="K45" s="50" t="s">
        <v>15</v>
      </c>
      <c r="L45" s="37" t="s">
        <v>233</v>
      </c>
      <c r="M45" s="36" t="s">
        <v>70</v>
      </c>
      <c r="N45" s="106">
        <v>45985</v>
      </c>
      <c r="O45" s="60" t="s">
        <v>249</v>
      </c>
      <c r="P45" s="37" t="s">
        <v>234</v>
      </c>
    </row>
    <row r="46" spans="1:16" ht="127.5" customHeight="1">
      <c r="A46" s="38">
        <v>34</v>
      </c>
      <c r="B46" s="105">
        <v>45978</v>
      </c>
      <c r="C46" s="39" t="s">
        <v>39</v>
      </c>
      <c r="D46" s="39" t="s">
        <v>235</v>
      </c>
      <c r="E46" s="39" t="s">
        <v>236</v>
      </c>
      <c r="F46" s="39" t="s">
        <v>237</v>
      </c>
      <c r="G46" s="102" t="s">
        <v>13</v>
      </c>
      <c r="H46" s="103" t="s">
        <v>271</v>
      </c>
      <c r="I46" s="94">
        <v>4</v>
      </c>
      <c r="J46" s="94">
        <v>5</v>
      </c>
      <c r="K46" s="50" t="s">
        <v>122</v>
      </c>
      <c r="L46" s="37" t="s">
        <v>238</v>
      </c>
      <c r="M46" s="36" t="s">
        <v>70</v>
      </c>
      <c r="N46" s="106">
        <v>45985</v>
      </c>
      <c r="O46" s="60" t="s">
        <v>249</v>
      </c>
      <c r="P46" s="37" t="s">
        <v>239</v>
      </c>
    </row>
    <row r="47" spans="1:16" ht="127.5" customHeight="1">
      <c r="A47" s="38">
        <v>35</v>
      </c>
      <c r="B47" s="105">
        <v>45978</v>
      </c>
      <c r="C47" s="39" t="s">
        <v>83</v>
      </c>
      <c r="D47" s="39" t="s">
        <v>240</v>
      </c>
      <c r="E47" s="39" t="s">
        <v>241</v>
      </c>
      <c r="F47" s="39" t="s">
        <v>242</v>
      </c>
      <c r="G47" s="61" t="s">
        <v>14</v>
      </c>
      <c r="H47" s="102" t="s">
        <v>13</v>
      </c>
      <c r="I47" s="94">
        <v>3</v>
      </c>
      <c r="J47" s="94">
        <v>4</v>
      </c>
      <c r="K47" s="50" t="s">
        <v>13</v>
      </c>
      <c r="L47" s="37" t="s">
        <v>243</v>
      </c>
      <c r="M47" s="36" t="s">
        <v>70</v>
      </c>
      <c r="N47" s="106">
        <v>45985</v>
      </c>
      <c r="O47" s="60" t="s">
        <v>249</v>
      </c>
      <c r="P47" s="37" t="s">
        <v>244</v>
      </c>
    </row>
    <row r="48" spans="1:16" ht="127.5" customHeight="1">
      <c r="A48" s="38">
        <v>36</v>
      </c>
      <c r="B48" s="105">
        <v>45978</v>
      </c>
      <c r="C48" s="39" t="s">
        <v>38</v>
      </c>
      <c r="D48" s="39" t="s">
        <v>245</v>
      </c>
      <c r="E48" s="39" t="s">
        <v>246</v>
      </c>
      <c r="F48" s="39" t="s">
        <v>247</v>
      </c>
      <c r="G48" s="101" t="s">
        <v>15</v>
      </c>
      <c r="H48" s="61" t="s">
        <v>14</v>
      </c>
      <c r="I48" s="94">
        <v>2</v>
      </c>
      <c r="J48" s="94">
        <v>3</v>
      </c>
      <c r="K48" s="50" t="s">
        <v>15</v>
      </c>
      <c r="L48" s="37" t="s">
        <v>248</v>
      </c>
      <c r="M48" s="36" t="s">
        <v>70</v>
      </c>
      <c r="N48" s="106">
        <v>45985</v>
      </c>
      <c r="O48" s="60" t="s">
        <v>249</v>
      </c>
      <c r="P48" s="37" t="s">
        <v>250</v>
      </c>
    </row>
    <row r="49" spans="1:17" ht="127.5" customHeight="1">
      <c r="A49" s="38">
        <v>37</v>
      </c>
      <c r="B49" s="105">
        <v>45978</v>
      </c>
      <c r="C49" s="39" t="s">
        <v>83</v>
      </c>
      <c r="D49" s="39" t="s">
        <v>251</v>
      </c>
      <c r="E49" s="39" t="s">
        <v>252</v>
      </c>
      <c r="F49" s="39" t="s">
        <v>253</v>
      </c>
      <c r="G49" s="61" t="s">
        <v>14</v>
      </c>
      <c r="H49" s="61" t="s">
        <v>14</v>
      </c>
      <c r="I49" s="94">
        <v>3</v>
      </c>
      <c r="J49" s="94">
        <v>3</v>
      </c>
      <c r="K49" s="50" t="s">
        <v>14</v>
      </c>
      <c r="L49" s="37" t="s">
        <v>254</v>
      </c>
      <c r="M49" s="36" t="s">
        <v>70</v>
      </c>
      <c r="N49" s="106">
        <v>45985</v>
      </c>
      <c r="O49" s="60" t="s">
        <v>249</v>
      </c>
      <c r="P49" s="37" t="s">
        <v>255</v>
      </c>
    </row>
    <row r="50" spans="1:17" ht="127.5" customHeight="1">
      <c r="A50" s="38">
        <v>38</v>
      </c>
      <c r="B50" s="105">
        <v>45978</v>
      </c>
      <c r="C50" s="39" t="s">
        <v>39</v>
      </c>
      <c r="D50" s="39" t="s">
        <v>256</v>
      </c>
      <c r="E50" s="39" t="s">
        <v>257</v>
      </c>
      <c r="F50" s="39" t="s">
        <v>258</v>
      </c>
      <c r="G50" s="101" t="s">
        <v>15</v>
      </c>
      <c r="H50" s="102" t="s">
        <v>13</v>
      </c>
      <c r="I50" s="94">
        <v>2</v>
      </c>
      <c r="J50" s="94">
        <v>4</v>
      </c>
      <c r="K50" s="50" t="s">
        <v>14</v>
      </c>
      <c r="L50" s="37" t="s">
        <v>259</v>
      </c>
      <c r="M50" s="36" t="s">
        <v>70</v>
      </c>
      <c r="N50" s="106">
        <v>45985</v>
      </c>
      <c r="O50" s="60" t="s">
        <v>249</v>
      </c>
      <c r="P50" s="37" t="s">
        <v>260</v>
      </c>
    </row>
    <row r="51" spans="1:17" ht="127.5" customHeight="1">
      <c r="A51" s="38">
        <v>39</v>
      </c>
      <c r="B51" s="105">
        <v>45978</v>
      </c>
      <c r="C51" s="39" t="s">
        <v>83</v>
      </c>
      <c r="D51" s="39" t="s">
        <v>261</v>
      </c>
      <c r="E51" s="39" t="s">
        <v>262</v>
      </c>
      <c r="F51" s="39" t="s">
        <v>263</v>
      </c>
      <c r="G51" s="102" t="s">
        <v>13</v>
      </c>
      <c r="H51" s="61" t="s">
        <v>14</v>
      </c>
      <c r="I51" s="94">
        <v>4</v>
      </c>
      <c r="J51" s="94">
        <v>3</v>
      </c>
      <c r="K51" s="50" t="s">
        <v>13</v>
      </c>
      <c r="L51" s="37" t="s">
        <v>264</v>
      </c>
      <c r="M51" s="36" t="s">
        <v>70</v>
      </c>
      <c r="N51" s="107">
        <v>46006</v>
      </c>
      <c r="O51" s="60" t="s">
        <v>76</v>
      </c>
      <c r="P51" s="37" t="s">
        <v>265</v>
      </c>
      <c r="Q51" s="104"/>
    </row>
    <row r="52" spans="1:17" ht="127.5" customHeight="1">
      <c r="A52" s="38">
        <v>40</v>
      </c>
      <c r="B52" s="105">
        <v>45978</v>
      </c>
      <c r="C52" s="39" t="s">
        <v>38</v>
      </c>
      <c r="D52" s="39" t="s">
        <v>266</v>
      </c>
      <c r="E52" s="39" t="s">
        <v>267</v>
      </c>
      <c r="F52" s="39" t="s">
        <v>268</v>
      </c>
      <c r="G52" s="61" t="s">
        <v>14</v>
      </c>
      <c r="H52" s="102" t="s">
        <v>13</v>
      </c>
      <c r="I52" s="94">
        <v>3</v>
      </c>
      <c r="J52" s="94">
        <v>4</v>
      </c>
      <c r="K52" s="50" t="s">
        <v>13</v>
      </c>
      <c r="L52" s="37" t="s">
        <v>269</v>
      </c>
      <c r="M52" s="36" t="s">
        <v>70</v>
      </c>
      <c r="N52" s="106">
        <v>45985</v>
      </c>
      <c r="O52" s="60" t="s">
        <v>249</v>
      </c>
      <c r="P52" s="37" t="s">
        <v>270</v>
      </c>
      <c r="Q52" s="104"/>
    </row>
  </sheetData>
  <dataConsolidate/>
  <mergeCells count="1">
    <mergeCell ref="A1:P1"/>
  </mergeCells>
  <conditionalFormatting sqref="F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 K4:K10">
    <cfRule type="cellIs" dxfId="112" priority="386" operator="equal">
      <formula>"Bajo"</formula>
    </cfRule>
    <cfRule type="cellIs" dxfId="111" priority="387" operator="equal">
      <formula>"Medio"</formula>
    </cfRule>
    <cfRule type="cellIs" dxfId="110" priority="388" operator="equal">
      <formula>"Alto"</formula>
    </cfRule>
    <cfRule type="cellIs" dxfId="109" priority="389" operator="equal">
      <formula>"Muy Alto"</formula>
    </cfRule>
    <cfRule type="cellIs" dxfId="108" priority="411" operator="equal">
      <formula>"Bajo "</formula>
    </cfRule>
    <cfRule type="cellIs" dxfId="107" priority="412" operator="equal">
      <formula>"Bajo"</formula>
    </cfRule>
    <cfRule type="cellIs" dxfId="106" priority="413" operator="equal">
      <formula>"Medio"</formula>
    </cfRule>
    <cfRule type="cellIs" dxfId="105" priority="414" operator="equal">
      <formula>"Alto"</formula>
    </cfRule>
    <cfRule type="containsText" dxfId="104" priority="415" operator="containsText" text="Muy Alto">
      <formula>NOT(ISERROR(SEARCH("Muy Alto",J3)))</formula>
    </cfRule>
    <cfRule type="expression" dxfId="103" priority="416">
      <formula>"Muy Alto"</formula>
    </cfRule>
  </conditionalFormatting>
  <conditionalFormatting sqref="K4:K5">
    <cfRule type="colorScale" priority="207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11">
      <dataBar>
        <cfvo type="num" val="4"/>
        <cfvo type="num" val="1"/>
        <color rgb="FFFF0000"/>
      </dataBar>
    </cfRule>
    <cfRule type="colorScale" priority="2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20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04">
      <dataBar>
        <cfvo type="num" val="4"/>
        <cfvo type="num" val="1"/>
        <color rgb="FFFF0000"/>
      </dataBar>
    </cfRule>
    <cfRule type="colorScale" priority="20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167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171">
      <dataBar>
        <cfvo type="num" val="4"/>
        <cfvo type="num" val="1"/>
        <color rgb="FFFF0000"/>
      </dataBar>
    </cfRule>
    <cfRule type="colorScale" priority="17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dataBar" priority="462">
      <dataBar>
        <cfvo type="num" val="4"/>
        <cfvo type="num" val="1"/>
        <color rgb="FFFF0000"/>
      </dataBar>
    </cfRule>
    <cfRule type="colorScale" priority="4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27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74">
      <dataBar>
        <cfvo type="num" val="4"/>
        <cfvo type="num" val="1"/>
        <color rgb="FFFF0000"/>
      </dataBar>
    </cfRule>
    <cfRule type="colorScale" priority="27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25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54">
      <dataBar>
        <cfvo type="num" val="4"/>
        <cfvo type="num" val="1"/>
        <color rgb="FFFF0000"/>
      </dataBar>
    </cfRule>
    <cfRule type="colorScale" priority="25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23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34">
      <dataBar>
        <cfvo type="num" val="4"/>
        <cfvo type="num" val="1"/>
        <color rgb="FFFF0000"/>
      </dataBar>
    </cfRule>
    <cfRule type="colorScale" priority="23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11:F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H32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70">
      <dataBar>
        <cfvo type="num" val="4"/>
        <cfvo type="num" val="1"/>
        <color rgb="FFFF0000"/>
      </dataBar>
    </cfRule>
    <cfRule type="colorScale" priority="47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:K52">
    <cfRule type="colorScale" priority="472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473">
      <dataBar>
        <cfvo type="num" val="4"/>
        <cfvo type="num" val="1"/>
        <color rgb="FFFF0000"/>
      </dataBar>
    </cfRule>
    <cfRule type="colorScale" priority="474">
      <colorScale>
        <cfvo type="min"/>
        <cfvo type="percentile" val="50"/>
        <cfvo type="max"/>
        <color rgb="FF5A8AC6"/>
        <color rgb="FFFFEB84"/>
        <color rgb="FFF8696B"/>
      </colorScale>
    </cfRule>
    <cfRule type="cellIs" dxfId="102" priority="475" operator="equal">
      <formula>"Bajo"</formula>
    </cfRule>
    <cfRule type="cellIs" dxfId="101" priority="476" operator="equal">
      <formula>"Medio"</formula>
    </cfRule>
    <cfRule type="cellIs" dxfId="100" priority="477" operator="equal">
      <formula>"Alto"</formula>
    </cfRule>
    <cfRule type="cellIs" dxfId="99" priority="478" operator="equal">
      <formula>"Muy Alto"</formula>
    </cfRule>
    <cfRule type="cellIs" dxfId="98" priority="479" operator="equal">
      <formula>"Bajo"</formula>
    </cfRule>
    <cfRule type="cellIs" dxfId="97" priority="480" operator="equal">
      <formula>"Medio"</formula>
    </cfRule>
    <cfRule type="cellIs" dxfId="96" priority="481" operator="equal">
      <formula>"Alto"</formula>
    </cfRule>
    <cfRule type="containsText" dxfId="95" priority="482" operator="containsText" text="Muy Alto">
      <formula>NOT(ISERROR(SEARCH("Muy Alto",K11)))</formula>
    </cfRule>
    <cfRule type="cellIs" dxfId="94" priority="483" operator="equal">
      <formula>"Medio"</formula>
    </cfRule>
    <cfRule type="cellIs" dxfId="93" priority="484" operator="equal">
      <formula>"Alto"</formula>
    </cfRule>
    <cfRule type="cellIs" dxfId="92" priority="485" operator="equal">
      <formula>"Muy Alto"</formula>
    </cfRule>
    <cfRule type="cellIs" dxfId="91" priority="486" operator="equal">
      <formula>"Bajo "</formula>
    </cfRule>
    <cfRule type="expression" dxfId="90" priority="487">
      <formula>"Muy Alto"</formula>
    </cfRule>
  </conditionalFormatting>
  <conditionalFormatting sqref="H5">
    <cfRule type="cellIs" dxfId="89" priority="95" operator="equal">
      <formula>"Bajo"</formula>
    </cfRule>
    <cfRule type="cellIs" dxfId="88" priority="96" operator="equal">
      <formula>"Medio"</formula>
    </cfRule>
    <cfRule type="cellIs" dxfId="87" priority="97" operator="equal">
      <formula>"Alto"</formula>
    </cfRule>
    <cfRule type="cellIs" dxfId="86" priority="98" operator="equal">
      <formula>"Muy Alto"</formula>
    </cfRule>
    <cfRule type="cellIs" dxfId="85" priority="99" operator="equal">
      <formula>"Bajo "</formula>
    </cfRule>
    <cfRule type="cellIs" dxfId="84" priority="100" operator="equal">
      <formula>"Bajo"</formula>
    </cfRule>
    <cfRule type="cellIs" dxfId="83" priority="101" operator="equal">
      <formula>"Medio"</formula>
    </cfRule>
    <cfRule type="cellIs" dxfId="82" priority="102" operator="equal">
      <formula>"Alto"</formula>
    </cfRule>
    <cfRule type="containsText" dxfId="81" priority="103" operator="containsText" text="Muy Alto">
      <formula>NOT(ISERROR(SEARCH("Muy Alto",H5)))</formula>
    </cfRule>
    <cfRule type="expression" dxfId="80" priority="104">
      <formula>"Muy Alto"</formula>
    </cfRule>
  </conditionalFormatting>
  <conditionalFormatting sqref="H5">
    <cfRule type="colorScale" priority="92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93">
      <dataBar>
        <cfvo type="num" val="4"/>
        <cfvo type="num" val="1"/>
        <color rgb="FFFF0000"/>
      </dataBar>
    </cfRule>
    <cfRule type="colorScale" priority="9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5">
    <cfRule type="cellIs" dxfId="69" priority="82" operator="equal">
      <formula>"Bajo"</formula>
    </cfRule>
    <cfRule type="cellIs" dxfId="68" priority="83" operator="equal">
      <formula>"Medio"</formula>
    </cfRule>
    <cfRule type="cellIs" dxfId="67" priority="84" operator="equal">
      <formula>"Alto"</formula>
    </cfRule>
    <cfRule type="cellIs" dxfId="66" priority="85" operator="equal">
      <formula>"Muy Alto"</formula>
    </cfRule>
    <cfRule type="cellIs" dxfId="65" priority="86" operator="equal">
      <formula>"Bajo "</formula>
    </cfRule>
    <cfRule type="cellIs" dxfId="64" priority="87" operator="equal">
      <formula>"Bajo"</formula>
    </cfRule>
    <cfRule type="cellIs" dxfId="63" priority="88" operator="equal">
      <formula>"Medio"</formula>
    </cfRule>
    <cfRule type="cellIs" dxfId="62" priority="89" operator="equal">
      <formula>"Alto"</formula>
    </cfRule>
    <cfRule type="containsText" dxfId="61" priority="90" operator="containsText" text="Muy Alto">
      <formula>NOT(ISERROR(SEARCH("Muy Alto",H15)))</formula>
    </cfRule>
    <cfRule type="expression" dxfId="60" priority="91">
      <formula>"Muy Alto"</formula>
    </cfRule>
  </conditionalFormatting>
  <conditionalFormatting sqref="H15">
    <cfRule type="colorScale" priority="79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80">
      <dataBar>
        <cfvo type="num" val="4"/>
        <cfvo type="num" val="1"/>
        <color rgb="FFFF0000"/>
      </dataBar>
    </cfRule>
    <cfRule type="colorScale" priority="8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9">
    <cfRule type="cellIs" dxfId="59" priority="69" operator="equal">
      <formula>"Bajo"</formula>
    </cfRule>
    <cfRule type="cellIs" dxfId="58" priority="70" operator="equal">
      <formula>"Medio"</formula>
    </cfRule>
    <cfRule type="cellIs" dxfId="57" priority="71" operator="equal">
      <formula>"Alto"</formula>
    </cfRule>
    <cfRule type="cellIs" dxfId="56" priority="72" operator="equal">
      <formula>"Muy Alto"</formula>
    </cfRule>
    <cfRule type="cellIs" dxfId="55" priority="73" operator="equal">
      <formula>"Bajo "</formula>
    </cfRule>
    <cfRule type="cellIs" dxfId="54" priority="74" operator="equal">
      <formula>"Bajo"</formula>
    </cfRule>
    <cfRule type="cellIs" dxfId="53" priority="75" operator="equal">
      <formula>"Medio"</formula>
    </cfRule>
    <cfRule type="cellIs" dxfId="52" priority="76" operator="equal">
      <formula>"Alto"</formula>
    </cfRule>
    <cfRule type="containsText" dxfId="51" priority="77" operator="containsText" text="Muy Alto">
      <formula>NOT(ISERROR(SEARCH("Muy Alto",H19)))</formula>
    </cfRule>
    <cfRule type="expression" dxfId="50" priority="78">
      <formula>"Muy Alto"</formula>
    </cfRule>
  </conditionalFormatting>
  <conditionalFormatting sqref="H19">
    <cfRule type="colorScale" priority="66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67">
      <dataBar>
        <cfvo type="num" val="4"/>
        <cfvo type="num" val="1"/>
        <color rgb="FFFF0000"/>
      </dataBar>
    </cfRule>
    <cfRule type="colorScale" priority="6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2">
    <cfRule type="cellIs" dxfId="49" priority="56" operator="equal">
      <formula>"Bajo"</formula>
    </cfRule>
    <cfRule type="cellIs" dxfId="48" priority="57" operator="equal">
      <formula>"Medio"</formula>
    </cfRule>
    <cfRule type="cellIs" dxfId="47" priority="58" operator="equal">
      <formula>"Alto"</formula>
    </cfRule>
    <cfRule type="cellIs" dxfId="46" priority="59" operator="equal">
      <formula>"Muy Alto"</formula>
    </cfRule>
    <cfRule type="cellIs" dxfId="45" priority="60" operator="equal">
      <formula>"Bajo "</formula>
    </cfRule>
    <cfRule type="cellIs" dxfId="44" priority="61" operator="equal">
      <formula>"Bajo"</formula>
    </cfRule>
    <cfRule type="cellIs" dxfId="43" priority="62" operator="equal">
      <formula>"Medio"</formula>
    </cfRule>
    <cfRule type="cellIs" dxfId="42" priority="63" operator="equal">
      <formula>"Alto"</formula>
    </cfRule>
    <cfRule type="containsText" dxfId="41" priority="64" operator="containsText" text="Muy Alto">
      <formula>NOT(ISERROR(SEARCH("Muy Alto",H22)))</formula>
    </cfRule>
    <cfRule type="expression" dxfId="40" priority="65">
      <formula>"Muy Alto"</formula>
    </cfRule>
  </conditionalFormatting>
  <conditionalFormatting sqref="H22">
    <cfRule type="colorScale" priority="53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54">
      <dataBar>
        <cfvo type="num" val="4"/>
        <cfvo type="num" val="1"/>
        <color rgb="FFFF0000"/>
      </dataBar>
    </cfRule>
    <cfRule type="colorScale" priority="5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3">
    <cfRule type="cellIs" dxfId="39" priority="43" operator="equal">
      <formula>"Bajo"</formula>
    </cfRule>
    <cfRule type="cellIs" dxfId="38" priority="44" operator="equal">
      <formula>"Medio"</formula>
    </cfRule>
    <cfRule type="cellIs" dxfId="37" priority="45" operator="equal">
      <formula>"Alto"</formula>
    </cfRule>
    <cfRule type="cellIs" dxfId="36" priority="46" operator="equal">
      <formula>"Muy Alto"</formula>
    </cfRule>
    <cfRule type="cellIs" dxfId="35" priority="47" operator="equal">
      <formula>"Bajo "</formula>
    </cfRule>
    <cfRule type="cellIs" dxfId="34" priority="48" operator="equal">
      <formula>"Bajo"</formula>
    </cfRule>
    <cfRule type="cellIs" dxfId="33" priority="49" operator="equal">
      <formula>"Medio"</formula>
    </cfRule>
    <cfRule type="cellIs" dxfId="32" priority="50" operator="equal">
      <formula>"Alto"</formula>
    </cfRule>
    <cfRule type="containsText" dxfId="31" priority="51" operator="containsText" text="Muy Alto">
      <formula>NOT(ISERROR(SEARCH("Muy Alto",H33)))</formula>
    </cfRule>
    <cfRule type="expression" dxfId="30" priority="52">
      <formula>"Muy Alto"</formula>
    </cfRule>
  </conditionalFormatting>
  <conditionalFormatting sqref="H33"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41">
      <dataBar>
        <cfvo type="num" val="4"/>
        <cfvo type="num" val="1"/>
        <color rgb="FFFF0000"/>
      </dataBar>
    </cfRule>
    <cfRule type="colorScale" priority="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5">
    <cfRule type="cellIs" dxfId="29" priority="30" operator="equal">
      <formula>"Bajo"</formula>
    </cfRule>
    <cfRule type="cellIs" dxfId="28" priority="31" operator="equal">
      <formula>"Medio"</formula>
    </cfRule>
    <cfRule type="cellIs" dxfId="27" priority="32" operator="equal">
      <formula>"Alto"</formula>
    </cfRule>
    <cfRule type="cellIs" dxfId="26" priority="33" operator="equal">
      <formula>"Muy Alto"</formula>
    </cfRule>
    <cfRule type="cellIs" dxfId="25" priority="34" operator="equal">
      <formula>"Bajo "</formula>
    </cfRule>
    <cfRule type="cellIs" dxfId="24" priority="35" operator="equal">
      <formula>"Bajo"</formula>
    </cfRule>
    <cfRule type="cellIs" dxfId="23" priority="36" operator="equal">
      <formula>"Medio"</formula>
    </cfRule>
    <cfRule type="cellIs" dxfId="22" priority="37" operator="equal">
      <formula>"Alto"</formula>
    </cfRule>
    <cfRule type="containsText" dxfId="21" priority="38" operator="containsText" text="Muy Alto">
      <formula>NOT(ISERROR(SEARCH("Muy Alto",H35)))</formula>
    </cfRule>
    <cfRule type="expression" dxfId="20" priority="39">
      <formula>"Muy Alto"</formula>
    </cfRule>
  </conditionalFormatting>
  <conditionalFormatting sqref="H35">
    <cfRule type="colorScale" priority="27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8">
      <dataBar>
        <cfvo type="num" val="4"/>
        <cfvo type="num" val="1"/>
        <color rgb="FFFF0000"/>
      </dataBar>
    </cfRule>
    <cfRule type="colorScale" priority="2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0">
    <cfRule type="cellIs" dxfId="19" priority="17" operator="equal">
      <formula>"Bajo"</formula>
    </cfRule>
    <cfRule type="cellIs" dxfId="18" priority="18" operator="equal">
      <formula>"Medio"</formula>
    </cfRule>
    <cfRule type="cellIs" dxfId="17" priority="19" operator="equal">
      <formula>"Alto"</formula>
    </cfRule>
    <cfRule type="cellIs" dxfId="16" priority="20" operator="equal">
      <formula>"Muy Alto"</formula>
    </cfRule>
    <cfRule type="cellIs" dxfId="15" priority="21" operator="equal">
      <formula>"Bajo "</formula>
    </cfRule>
    <cfRule type="cellIs" dxfId="14" priority="22" operator="equal">
      <formula>"Bajo"</formula>
    </cfRule>
    <cfRule type="cellIs" dxfId="13" priority="23" operator="equal">
      <formula>"Medio"</formula>
    </cfRule>
    <cfRule type="cellIs" dxfId="12" priority="24" operator="equal">
      <formula>"Alto"</formula>
    </cfRule>
    <cfRule type="containsText" dxfId="11" priority="25" operator="containsText" text="Muy Alto">
      <formula>NOT(ISERROR(SEARCH("Muy Alto",H40)))</formula>
    </cfRule>
    <cfRule type="expression" dxfId="10" priority="26">
      <formula>"Muy Alto"</formula>
    </cfRule>
  </conditionalFormatting>
  <conditionalFormatting sqref="H40">
    <cfRule type="colorScale" priority="14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15">
      <dataBar>
        <cfvo type="num" val="4"/>
        <cfvo type="num" val="1"/>
        <color rgb="FFFF0000"/>
      </dataBar>
    </cfRule>
    <cfRule type="colorScale" priority="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6">
    <cfRule type="cellIs" dxfId="9" priority="4" operator="equal">
      <formula>"Bajo"</formula>
    </cfRule>
    <cfRule type="cellIs" dxfId="8" priority="5" operator="equal">
      <formula>"Medio"</formula>
    </cfRule>
    <cfRule type="cellIs" dxfId="7" priority="6" operator="equal">
      <formula>"Alto"</formula>
    </cfRule>
    <cfRule type="cellIs" dxfId="6" priority="7" operator="equal">
      <formula>"Muy Alto"</formula>
    </cfRule>
    <cfRule type="cellIs" dxfId="5" priority="8" operator="equal">
      <formula>"Bajo "</formula>
    </cfRule>
    <cfRule type="cellIs" dxfId="4" priority="9" operator="equal">
      <formula>"Bajo"</formula>
    </cfRule>
    <cfRule type="cellIs" dxfId="3" priority="10" operator="equal">
      <formula>"Medio"</formula>
    </cfRule>
    <cfRule type="cellIs" dxfId="2" priority="11" operator="equal">
      <formula>"Alto"</formula>
    </cfRule>
    <cfRule type="containsText" dxfId="1" priority="12" operator="containsText" text="Muy Alto">
      <formula>NOT(ISERROR(SEARCH("Muy Alto",H46)))</formula>
    </cfRule>
    <cfRule type="expression" dxfId="0" priority="13">
      <formula>"Muy Alto"</formula>
    </cfRule>
  </conditionalFormatting>
  <conditionalFormatting sqref="H46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">
      <dataBar>
        <cfvo type="num" val="4"/>
        <cfvo type="num" val="1"/>
        <color rgb="FFFF0000"/>
      </dataBar>
    </cfRule>
    <cfRule type="colorScale" priority="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7">
    <dataValidation type="list" allowBlank="1" showInputMessage="1" showErrorMessage="1" sqref="O3:O52" xr:uid="{00000000-0002-0000-0200-000000000000}">
      <formula1>$O$26:$O$29</formula1>
    </dataValidation>
    <dataValidation type="list" allowBlank="1" showInputMessage="1" showErrorMessage="1" sqref="F3 G48 G5:G7 G45:G46 G10:G11 G13:G15 G21:H21 G17:H17 G35 G23:G33 G37:G38 G50:G51 H52 H50 H47 H43 H36:H37 H34 H12:H14 H7:H8 H3:H4" xr:uid="{00000000-0002-0000-0200-000001000000}">
      <formula1>$G$26:$G$30</formula1>
    </dataValidation>
    <dataValidation type="list" allowBlank="1" showInputMessage="1" showErrorMessage="1" sqref="G3:G4 G52 G8:G9 G12 G16:H16 G22 G34 G36 G39:G44 G47 G49:H49 H6 H51 H48 H18 H23:H32 H20 H9:H11 H41:H42 G18:G20 H38:H39 H44:H45" xr:uid="{00000000-0002-0000-0200-000002000000}">
      <formula1>$H$26:$H$30</formula1>
    </dataValidation>
    <dataValidation type="list" allowBlank="1" showInputMessage="1" showErrorMessage="1" sqref="C5:C52" xr:uid="{00000000-0002-0000-0200-000003000000}">
      <formula1>$C$26:$C$31</formula1>
    </dataValidation>
    <dataValidation type="list" allowBlank="1" showInputMessage="1" showErrorMessage="1" sqref="E3 F5:F52" xr:uid="{00000000-0002-0000-0200-000004000000}">
      <formula1>$F$26:$F$29</formula1>
    </dataValidation>
    <dataValidation type="list" allowBlank="1" showInputMessage="1" showErrorMessage="1" sqref="F4" xr:uid="{00000000-0002-0000-0200-000005000000}">
      <formula1>$F$25:$F$28</formula1>
    </dataValidation>
    <dataValidation type="list" allowBlank="1" showInputMessage="1" showErrorMessage="1" sqref="C4" xr:uid="{00000000-0002-0000-0200-000006000000}">
      <formula1>$C$25:$C$30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7" operator="equal" id="{B6429A93-7A85-430D-BA6E-483337681500}">
            <xm:f>'Matriz Impacto y Probabilidad'!$D$8</xm:f>
            <x14:dxf>
              <fill>
                <patternFill>
                  <bgColor rgb="FF92D050"/>
                </patternFill>
              </fill>
            </x14:dxf>
          </x14:cfRule>
          <x14:cfRule type="cellIs" priority="187" operator="equal" id="{24CA3D79-3C98-44A0-8042-5D6E5EB0AB93}">
            <xm:f>'Matriz Impacto y Probabilidad'!$H$8</xm:f>
            <x14:dxf>
              <fill>
                <patternFill>
                  <bgColor rgb="FFC00000"/>
                </patternFill>
              </fill>
            </x14:dxf>
          </x14:cfRule>
          <x14:cfRule type="cellIs" priority="187" operator="equal" id="{72C48F03-F1C9-49C6-870A-10D4959EFC57}">
            <xm:f>'Matriz Impacto y Probabilidad'!$E$6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87" operator="equal" id="{90BA76A4-67D3-4605-A7A5-C0A8C315EEBE}">
            <xm:f>'Matriz Impacto y Probabilidad'!$D$7</xm:f>
            <x14:dxf>
              <fill>
                <patternFill>
                  <bgColor rgb="FFFFFF00"/>
                </patternFill>
              </fill>
            </x14:dxf>
          </x14:cfRule>
          <xm:sqref>J3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C3:H10"/>
  <sheetViews>
    <sheetView workbookViewId="0">
      <selection activeCell="J1" sqref="J1:O34"/>
    </sheetView>
  </sheetViews>
  <sheetFormatPr baseColWidth="10" defaultColWidth="11.5703125" defaultRowHeight="15"/>
  <sheetData>
    <row r="3" spans="3:8" ht="15.75" thickBot="1"/>
    <row r="4" spans="3:8" ht="15.75" thickBot="1">
      <c r="D4" s="91" t="s">
        <v>0</v>
      </c>
      <c r="E4" s="92"/>
      <c r="F4" s="92"/>
      <c r="G4" s="92"/>
      <c r="H4" s="93"/>
    </row>
    <row r="5" spans="3:8" ht="15.75" thickBot="1">
      <c r="C5" s="43" t="s">
        <v>26</v>
      </c>
      <c r="D5" s="44" t="s">
        <v>41</v>
      </c>
      <c r="E5" s="44" t="s">
        <v>11</v>
      </c>
      <c r="F5" s="44" t="s">
        <v>10</v>
      </c>
      <c r="G5" s="44" t="s">
        <v>9</v>
      </c>
      <c r="H5" s="44" t="s">
        <v>40</v>
      </c>
    </row>
    <row r="6" spans="3:8" ht="15.75" thickBot="1">
      <c r="C6" s="45" t="s">
        <v>40</v>
      </c>
      <c r="D6" s="46" t="s">
        <v>10</v>
      </c>
      <c r="E6" s="47" t="s">
        <v>9</v>
      </c>
      <c r="F6" s="47" t="s">
        <v>9</v>
      </c>
      <c r="G6" s="48" t="s">
        <v>40</v>
      </c>
      <c r="H6" s="48" t="s">
        <v>40</v>
      </c>
    </row>
    <row r="7" spans="3:8" ht="15.75" thickBot="1">
      <c r="C7" s="45" t="s">
        <v>9</v>
      </c>
      <c r="D7" s="46" t="s">
        <v>10</v>
      </c>
      <c r="E7" s="46" t="s">
        <v>10</v>
      </c>
      <c r="F7" s="47" t="s">
        <v>9</v>
      </c>
      <c r="G7" s="48" t="s">
        <v>40</v>
      </c>
      <c r="H7" s="48" t="s">
        <v>40</v>
      </c>
    </row>
    <row r="8" spans="3:8" ht="15.75" thickBot="1">
      <c r="C8" s="45" t="s">
        <v>10</v>
      </c>
      <c r="D8" s="49" t="s">
        <v>11</v>
      </c>
      <c r="E8" s="46" t="s">
        <v>10</v>
      </c>
      <c r="F8" s="47" t="s">
        <v>9</v>
      </c>
      <c r="G8" s="47" t="s">
        <v>9</v>
      </c>
      <c r="H8" s="48" t="s">
        <v>40</v>
      </c>
    </row>
    <row r="9" spans="3:8" ht="15.75" thickBot="1">
      <c r="C9" s="45" t="s">
        <v>11</v>
      </c>
      <c r="D9" s="49" t="s">
        <v>11</v>
      </c>
      <c r="E9" s="49" t="s">
        <v>11</v>
      </c>
      <c r="F9" s="46" t="s">
        <v>10</v>
      </c>
      <c r="G9" s="47" t="s">
        <v>9</v>
      </c>
      <c r="H9" s="47" t="s">
        <v>9</v>
      </c>
    </row>
    <row r="10" spans="3:8" ht="15.75" thickBot="1">
      <c r="C10" s="45" t="s">
        <v>41</v>
      </c>
      <c r="D10" s="49" t="s">
        <v>11</v>
      </c>
      <c r="E10" s="49" t="s">
        <v>11</v>
      </c>
      <c r="F10" s="46" t="s">
        <v>10</v>
      </c>
      <c r="G10" s="46" t="s">
        <v>10</v>
      </c>
      <c r="H10" s="47" t="s">
        <v>9</v>
      </c>
    </row>
  </sheetData>
  <mergeCells count="1">
    <mergeCell ref="D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C3:H10"/>
  <sheetViews>
    <sheetView workbookViewId="0">
      <selection activeCell="J14" sqref="J14"/>
    </sheetView>
  </sheetViews>
  <sheetFormatPr baseColWidth="10" defaultRowHeight="15"/>
  <sheetData>
    <row r="3" spans="3:8" ht="15.75" thickBot="1"/>
    <row r="4" spans="3:8" ht="15.75" thickBot="1">
      <c r="D4" s="91" t="s">
        <v>0</v>
      </c>
      <c r="E4" s="92"/>
      <c r="F4" s="92"/>
      <c r="G4" s="92"/>
      <c r="H4" s="93"/>
    </row>
    <row r="5" spans="3:8" ht="15.75" thickBot="1">
      <c r="C5" s="43" t="s">
        <v>26</v>
      </c>
      <c r="D5" s="44" t="s">
        <v>41</v>
      </c>
      <c r="E5" s="44" t="s">
        <v>42</v>
      </c>
      <c r="F5" s="44" t="s">
        <v>10</v>
      </c>
      <c r="G5" s="44" t="s">
        <v>9</v>
      </c>
      <c r="H5" s="44" t="s">
        <v>40</v>
      </c>
    </row>
    <row r="6" spans="3:8" ht="15.75" thickBot="1">
      <c r="C6" s="45" t="s">
        <v>40</v>
      </c>
      <c r="D6" s="46" t="s">
        <v>10</v>
      </c>
      <c r="E6" s="47" t="s">
        <v>9</v>
      </c>
      <c r="F6" s="47" t="s">
        <v>9</v>
      </c>
      <c r="G6" s="48" t="s">
        <v>40</v>
      </c>
      <c r="H6" s="48" t="s">
        <v>40</v>
      </c>
    </row>
    <row r="7" spans="3:8" ht="15.75" thickBot="1">
      <c r="C7" s="45" t="s">
        <v>9</v>
      </c>
      <c r="D7" s="46" t="s">
        <v>10</v>
      </c>
      <c r="E7" s="46" t="s">
        <v>10</v>
      </c>
      <c r="F7" s="47" t="s">
        <v>9</v>
      </c>
      <c r="G7" s="48" t="s">
        <v>40</v>
      </c>
      <c r="H7" s="48" t="s">
        <v>40</v>
      </c>
    </row>
    <row r="8" spans="3:8" ht="15.75" thickBot="1">
      <c r="C8" s="45" t="s">
        <v>10</v>
      </c>
      <c r="D8" s="49" t="s">
        <v>11</v>
      </c>
      <c r="E8" s="46" t="s">
        <v>10</v>
      </c>
      <c r="F8" s="47" t="s">
        <v>9</v>
      </c>
      <c r="G8" s="47" t="s">
        <v>9</v>
      </c>
      <c r="H8" s="48" t="s">
        <v>40</v>
      </c>
    </row>
    <row r="9" spans="3:8" ht="15.75" thickBot="1">
      <c r="C9" s="45" t="s">
        <v>11</v>
      </c>
      <c r="D9" s="49" t="s">
        <v>11</v>
      </c>
      <c r="E9" s="49" t="s">
        <v>11</v>
      </c>
      <c r="F9" s="46" t="s">
        <v>10</v>
      </c>
      <c r="G9" s="47" t="s">
        <v>9</v>
      </c>
      <c r="H9" s="47" t="s">
        <v>9</v>
      </c>
    </row>
    <row r="10" spans="3:8" ht="15.75" thickBot="1">
      <c r="C10" s="45" t="s">
        <v>41</v>
      </c>
      <c r="D10" s="49" t="s">
        <v>11</v>
      </c>
      <c r="E10" s="49" t="s">
        <v>11</v>
      </c>
      <c r="F10" s="46" t="s">
        <v>10</v>
      </c>
      <c r="G10" s="46" t="s">
        <v>10</v>
      </c>
      <c r="H10" s="47" t="s">
        <v>9</v>
      </c>
    </row>
  </sheetData>
  <mergeCells count="1"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Información</vt:lpstr>
      <vt:lpstr>Información del Documento</vt:lpstr>
      <vt:lpstr>Registro de Riesgos</vt:lpstr>
      <vt:lpstr>Matriz</vt:lpstr>
      <vt:lpstr>Matriz Impacto y Probabilidad</vt:lpstr>
      <vt:lpstr>Criticidad</vt:lpstr>
      <vt:lpstr>Estado</vt:lpstr>
      <vt:lpstr>EstadoRiesgos</vt:lpstr>
      <vt:lpstr>ImpactoRiesgo</vt:lpstr>
      <vt:lpstr>MatrizRiesgo</vt:lpstr>
      <vt:lpstr>PrioridadRiesgo</vt:lpstr>
      <vt:lpstr>ProbabilidadRiesgo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SNP</dc:creator>
  <cp:lastModifiedBy>MIRKO ELIAS GONZALEZ CARTAGENA</cp:lastModifiedBy>
  <cp:lastPrinted>2013-10-22T21:30:56Z</cp:lastPrinted>
  <dcterms:created xsi:type="dcterms:W3CDTF">2012-02-15T17:56:08Z</dcterms:created>
  <dcterms:modified xsi:type="dcterms:W3CDTF">2025-11-24T13:14:14Z</dcterms:modified>
</cp:coreProperties>
</file>