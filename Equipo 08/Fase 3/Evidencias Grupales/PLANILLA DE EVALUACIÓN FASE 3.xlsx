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uoc\SM2-2025\CAPSTONE PTY4614-006V\Grupos\Grupo 8  M.Gonzalez\Fase 3\Evidencias Grupales\"/>
    </mc:Choice>
  </mc:AlternateContent>
  <xr:revisionPtr revIDLastSave="0" documentId="13_ncr:1_{EEBF4ED5-2EFC-4530-A600-43EF0A2A3E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<sst xmlns="http://schemas.openxmlformats.org/spreadsheetml/2006/main" count="164" uniqueCount="65">
  <si>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</si>
  <si>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</si>
  <si>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</si>
  <si>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</si>
  <si>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</si>
  <si>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</si>
  <si>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</si>
  <si>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</si>
  <si>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</si>
  <si>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</si>
  <si>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</si>
  <si>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</si>
  <si>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</si>
  <si>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</si>
  <si>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</si>
  <si>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</si>
  <si>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</si>
  <si>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</si>
  <si>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</si>
  <si>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</si>
  <si>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</si>
  <si>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</si>
  <si>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</si>
  <si>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</si>
  <si>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</si>
  <si>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</si>
  <si>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</si>
  <si>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</si>
  <si>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</si>
  <si>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</si>
  <si>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</si>
  <si>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</si>
  <si>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</si>
  <si>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</si>
  <si>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</si>
  <si>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</si>
  <si>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</si>
  <si>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</si>
  <si>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</si>
  <si>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</si>
  <si>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</si>
  <si>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</si>
  <si>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</si>
  <si>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</si>
  <si>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</si>
  <si>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</si>
  <si>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</si>
  <si>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</si>
  <si>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</si>
  <si>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</si>
  <si>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</si>
  <si>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</si>
  <si>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</si>
  <si>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</si>
  <si>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</si>
  <si>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</si>
  <si>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</si>
  <si>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</si>
  <si>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</si>
  <si>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</si>
  <si>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</si>
  <si>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</si>
  <si>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</si>
  <si>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MIRKO ELIAS GONZALEZ CARTAGENA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</si>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</sst>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G5" sqref="G5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63</v>
      </c>
      <c r="C4" s="31">
        <f>C21</f>
        <v>6.9</v>
      </c>
      <c r="D4" s="37">
        <f>C60</f>
        <v>6.7</v>
      </c>
      <c r="E4" s="36">
        <f>C4*C$2+D4*D$2</f>
        <v>6.84</v>
      </c>
    </row>
    <row r="5" spans="1:11" x14ac:dyDescent="0.25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 t="s">
        <v>64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 x14ac:dyDescent="0.25">
      <c r="A11" s="39" t="s">
        <v>4</v>
      </c>
      <c r="B11" s="11" t="str">
        <f>B4</f>
        <v>MIRKO ELIAS GONZALEZ CARTAGENA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9</v>
      </c>
      <c r="D16" s="12" t="str">
        <f t="shared" si="1"/>
        <v/>
      </c>
      <c r="E16" s="12" t="str">
        <f>IF(D16="X",100*0.05,"")</f>
        <v/>
      </c>
      <c r="F16" s="12" t="str">
        <f t="shared" si="2"/>
        <v>X</v>
      </c>
      <c r="G16" s="12">
        <f>IF(F16="X",60*0.05,"")</f>
        <v>3</v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98</v>
      </c>
      <c r="D20" s="13"/>
      <c r="E20" s="13">
        <f>SUM(E13:E19)</f>
        <v>95</v>
      </c>
      <c r="F20" s="13"/>
      <c r="G20" s="13">
        <f>SUM(G13:G19)</f>
        <v>3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6.9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4</v>
      </c>
      <c r="B24" s="11" t="str">
        <f>B5</f>
        <v xml:space="preserve"> 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4</v>
      </c>
      <c r="B37" s="11" t="str">
        <f>B6</f>
        <v xml:space="preserve"> 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8" t="s">
        <v>14</v>
      </c>
      <c r="B50" s="11" t="str">
        <f>B4</f>
        <v>MIRKO ELIAS GONZALEZ CARTAGENA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9</v>
      </c>
      <c r="D55" s="12" t="str">
        <f t="shared" si="17"/>
        <v/>
      </c>
      <c r="E55" s="12" t="str">
        <f>IF(D55="X",100*0.05,"")</f>
        <v/>
      </c>
      <c r="F55" s="12" t="str">
        <f t="shared" si="18"/>
        <v>X</v>
      </c>
      <c r="G55" s="12">
        <f>IF(F55="X",60*0.05,"")</f>
        <v>3</v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9</v>
      </c>
      <c r="D56" s="12" t="str">
        <f t="shared" si="17"/>
        <v/>
      </c>
      <c r="E56" s="12" t="str">
        <f>IF(D56="X",100*0.05,"")</f>
        <v/>
      </c>
      <c r="F56" s="12" t="str">
        <f t="shared" si="18"/>
        <v>X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0"/>
      <c r="B59" s="18" t="s">
        <v>12</v>
      </c>
      <c r="C59" s="22">
        <f>E59+G59+I59+K59</f>
        <v>96</v>
      </c>
      <c r="D59" s="13"/>
      <c r="E59" s="13">
        <f>SUM(E52:E58)</f>
        <v>90</v>
      </c>
      <c r="F59" s="13"/>
      <c r="G59" s="13">
        <f>SUM(G52:G58)</f>
        <v>6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6.7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8" t="s">
        <v>15</v>
      </c>
      <c r="B63" s="11" t="str">
        <f>B5</f>
        <v xml:space="preserve"> 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8" t="s">
        <v>16</v>
      </c>
      <c r="B76" s="11" t="str">
        <f>B6</f>
        <v xml:space="preserve"> 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C65:C71 C78:C84 C26:C32 C39:C45 C52:C58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GOMEZ FLORES, JORGE</cp:lastModifiedBy>
  <cp:revision/>
  <dcterms:created xsi:type="dcterms:W3CDTF">2023-08-07T04:08:01Z</dcterms:created>
  <dcterms:modified xsi:type="dcterms:W3CDTF">2025-12-11T12:41:17Z</dcterms:modified>
  <cp:category/>
  <cp:contentStatus/>
</cp:coreProperties>
</file>